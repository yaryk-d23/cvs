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nit-PC\OneDrive\Documents\work\CVS\docs\"/>
    </mc:Choice>
  </mc:AlternateContent>
  <xr:revisionPtr revIDLastSave="0" documentId="13_ncr:1_{2E51A16C-C4B1-4683-8723-E5AFBD1E4597}" xr6:coauthVersionLast="45" xr6:coauthVersionMax="45" xr10:uidLastSave="{00000000-0000-0000-0000-000000000000}"/>
  <bookViews>
    <workbookView xWindow="-110" yWindow="-110" windowWidth="19420" windowHeight="10420" activeTab="3" xr2:uid="{00000000-000D-0000-FFFF-FFFF00000000}"/>
  </bookViews>
  <sheets>
    <sheet name="Exercise Dates" sheetId="1" r:id="rId1"/>
    <sheet name="2017 Release Calendar" sheetId="2" state="hidden" r:id="rId2"/>
    <sheet name="In Scope Applications" sheetId="3" r:id="rId3"/>
    <sheet name="Failover Tracking" sheetId="7" r:id="rId4"/>
    <sheet name="Columns" sheetId="8" r:id="rId5"/>
    <sheet name="Application Stats" sheetId="4" state="hidden" r:id="rId6"/>
    <sheet name="Revision History" sheetId="6" state="hidden" r:id="rId7"/>
  </sheets>
  <functionGroups builtInGroupCount="19"/>
  <definedNames>
    <definedName name="_xlnm._FilterDatabase" localSheetId="3" hidden="1">'Failover Tracking'!$A$1:$T$18</definedName>
    <definedName name="_xlnm._FilterDatabase" localSheetId="2" hidden="1">'In Scope Applications'!$A$1:$AD$25</definedName>
    <definedName name="_xlnm.Print_Area" localSheetId="0">'Exercise Dates'!$A$1:$F$47</definedName>
    <definedName name="_xlnm.Print_Titles" localSheetId="0">'Exercise Dates'!$1:$2</definedName>
    <definedName name="Z_B1D8F901_FC69_4993_BE16_C86A3096BF44_.wvu.FilterData" localSheetId="2" hidden="1">'In Scope Applications'!$A$1:$AB$23</definedName>
    <definedName name="Z_B1D8F901_FC69_4993_BE16_C86A3096BF44_.wvu.PrintArea" localSheetId="0" hidden="1">'Exercise Dates'!$A$1:$F$47</definedName>
    <definedName name="Z_B1D8F901_FC69_4993_BE16_C86A3096BF44_.wvu.PrintTitles" localSheetId="0" hidden="1">'Exercise Dates'!$1:$2</definedName>
  </definedNames>
  <calcPr calcId="191029"/>
  <customWorkbookViews>
    <customWorkbookView name="Goz, Cory  - Personal View" guid="{B1D8F901-FC69-4993-BE16-C86A3096BF44}" mergeInterval="0" personalView="1" maximized="1" xWindow="-8" yWindow="-8" windowWidth="1616" windowHeight="876" activeSheetId="3"/>
  </customWorkbookViews>
</workbook>
</file>

<file path=xl/calcChain.xml><?xml version="1.0" encoding="utf-8"?>
<calcChain xmlns="http://schemas.openxmlformats.org/spreadsheetml/2006/main">
  <c r="A7" i="7" l="1"/>
  <c r="A3" i="7"/>
  <c r="K3" i="7"/>
  <c r="B3" i="7"/>
  <c r="L5" i="3"/>
  <c r="H6" i="7"/>
  <c r="H16" i="7"/>
  <c r="H5" i="7"/>
  <c r="H9" i="7"/>
  <c r="H8" i="7"/>
  <c r="H12" i="7"/>
  <c r="H11" i="7"/>
  <c r="H14" i="7"/>
  <c r="H18" i="7"/>
  <c r="H2" i="7"/>
  <c r="H7" i="7"/>
  <c r="H10" i="7"/>
  <c r="H4" i="7"/>
  <c r="H13" i="7"/>
  <c r="H17" i="7"/>
  <c r="H15" i="7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U2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L14" i="7"/>
  <c r="L16" i="7"/>
  <c r="L5" i="7"/>
  <c r="L8" i="7"/>
  <c r="L12" i="7"/>
  <c r="L11" i="7"/>
  <c r="L18" i="7"/>
  <c r="L7" i="7"/>
  <c r="L10" i="7"/>
  <c r="L4" i="7"/>
  <c r="L15" i="7"/>
  <c r="L13" i="7"/>
  <c r="L17" i="7"/>
  <c r="L6" i="7"/>
  <c r="L9" i="7"/>
  <c r="K14" i="7"/>
  <c r="K16" i="7"/>
  <c r="K5" i="7"/>
  <c r="K8" i="7"/>
  <c r="K12" i="7"/>
  <c r="K11" i="7"/>
  <c r="K18" i="7"/>
  <c r="K2" i="7"/>
  <c r="K7" i="7"/>
  <c r="K10" i="7"/>
  <c r="K4" i="7"/>
  <c r="K15" i="7"/>
  <c r="K13" i="7"/>
  <c r="K17" i="7"/>
  <c r="K6" i="7"/>
  <c r="K9" i="7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J14" i="7"/>
  <c r="J16" i="7"/>
  <c r="J5" i="7"/>
  <c r="J8" i="7"/>
  <c r="J12" i="7"/>
  <c r="J11" i="7"/>
  <c r="J18" i="7"/>
  <c r="J2" i="7"/>
  <c r="J7" i="7"/>
  <c r="J10" i="7"/>
  <c r="J4" i="7"/>
  <c r="J15" i="7"/>
  <c r="J13" i="7"/>
  <c r="J17" i="7"/>
  <c r="J6" i="7"/>
  <c r="J9" i="7"/>
  <c r="I14" i="7"/>
  <c r="I16" i="7"/>
  <c r="I5" i="7"/>
  <c r="I8" i="7"/>
  <c r="I12" i="7"/>
  <c r="I11" i="7"/>
  <c r="I18" i="7"/>
  <c r="I2" i="7"/>
  <c r="I7" i="7"/>
  <c r="I10" i="7"/>
  <c r="I4" i="7"/>
  <c r="I15" i="7"/>
  <c r="I13" i="7"/>
  <c r="I17" i="7"/>
  <c r="I6" i="7"/>
  <c r="I9" i="7"/>
  <c r="A14" i="7"/>
  <c r="A16" i="7"/>
  <c r="A5" i="7"/>
  <c r="A8" i="7"/>
  <c r="A12" i="7"/>
  <c r="A11" i="7"/>
  <c r="A18" i="7"/>
  <c r="A2" i="7"/>
  <c r="A10" i="7"/>
  <c r="A4" i="7"/>
  <c r="A13" i="7"/>
  <c r="A17" i="7"/>
  <c r="A6" i="7"/>
  <c r="B14" i="7"/>
  <c r="B16" i="7"/>
  <c r="B5" i="7"/>
  <c r="B8" i="7"/>
  <c r="B12" i="7"/>
  <c r="B11" i="7"/>
  <c r="B18" i="7"/>
  <c r="B2" i="7"/>
  <c r="B7" i="7"/>
  <c r="B10" i="7"/>
  <c r="B4" i="7"/>
  <c r="B15" i="7"/>
  <c r="B13" i="7"/>
  <c r="B17" i="7"/>
  <c r="B6" i="7"/>
  <c r="G14" i="7"/>
  <c r="G16" i="7"/>
  <c r="G5" i="7"/>
  <c r="G8" i="7"/>
  <c r="G12" i="7"/>
  <c r="G11" i="7"/>
  <c r="G18" i="7"/>
  <c r="G2" i="7"/>
  <c r="G7" i="7"/>
  <c r="G10" i="7"/>
  <c r="G4" i="7"/>
  <c r="G15" i="7"/>
  <c r="G13" i="7"/>
  <c r="G17" i="7"/>
  <c r="G6" i="7"/>
  <c r="G9" i="7"/>
  <c r="F14" i="7"/>
  <c r="F16" i="7"/>
  <c r="F5" i="7"/>
  <c r="F8" i="7"/>
  <c r="F12" i="7"/>
  <c r="F11" i="7"/>
  <c r="F18" i="7"/>
  <c r="F2" i="7"/>
  <c r="F7" i="7"/>
  <c r="F10" i="7"/>
  <c r="F4" i="7"/>
  <c r="F15" i="7"/>
  <c r="F13" i="7"/>
  <c r="F17" i="7"/>
  <c r="F6" i="7"/>
  <c r="F9" i="7"/>
  <c r="E14" i="7"/>
  <c r="E16" i="7"/>
  <c r="E5" i="7"/>
  <c r="E8" i="7"/>
  <c r="E12" i="7"/>
  <c r="E11" i="7"/>
  <c r="E18" i="7"/>
  <c r="E2" i="7"/>
  <c r="E7" i="7"/>
  <c r="E10" i="7"/>
  <c r="E4" i="7"/>
  <c r="E15" i="7"/>
  <c r="E13" i="7"/>
  <c r="E17" i="7"/>
  <c r="E6" i="7"/>
  <c r="E9" i="7"/>
  <c r="D14" i="7"/>
  <c r="D16" i="7"/>
  <c r="D5" i="7"/>
  <c r="D8" i="7"/>
  <c r="D12" i="7"/>
  <c r="D11" i="7"/>
  <c r="D18" i="7"/>
  <c r="D2" i="7"/>
  <c r="D7" i="7"/>
  <c r="D10" i="7"/>
  <c r="D4" i="7"/>
  <c r="D15" i="7"/>
  <c r="D13" i="7"/>
  <c r="D17" i="7"/>
  <c r="D6" i="7"/>
  <c r="D9" i="7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L17" i="3"/>
  <c r="L16" i="3"/>
  <c r="L15" i="3"/>
  <c r="L14" i="3"/>
  <c r="L13" i="3"/>
  <c r="L11" i="3"/>
  <c r="L10" i="3"/>
  <c r="L9" i="3"/>
  <c r="L8" i="3"/>
  <c r="L7" i="3"/>
  <c r="L6" i="3"/>
  <c r="L4" i="3"/>
  <c r="L3" i="3"/>
  <c r="L2" i="3"/>
  <c r="N2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V2" i="3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A2" i="3"/>
  <c r="G2" i="3"/>
  <c r="I2" i="3"/>
  <c r="J2" i="3"/>
  <c r="A3" i="3"/>
  <c r="G3" i="3"/>
  <c r="I3" i="3"/>
  <c r="J3" i="3"/>
  <c r="A4" i="3"/>
  <c r="G4" i="3"/>
  <c r="I4" i="3"/>
  <c r="J4" i="3"/>
  <c r="A5" i="3"/>
  <c r="G5" i="3"/>
  <c r="I5" i="3"/>
  <c r="J5" i="3"/>
  <c r="A6" i="3"/>
  <c r="G6" i="3"/>
  <c r="I6" i="3"/>
  <c r="J6" i="3"/>
  <c r="A7" i="3"/>
  <c r="G7" i="3"/>
  <c r="I7" i="3"/>
  <c r="J7" i="3"/>
  <c r="A8" i="3"/>
  <c r="G8" i="3"/>
  <c r="I8" i="3"/>
  <c r="J8" i="3"/>
  <c r="A9" i="3"/>
  <c r="G9" i="3"/>
  <c r="I9" i="3"/>
  <c r="J9" i="3"/>
  <c r="A10" i="3"/>
  <c r="G10" i="3"/>
  <c r="I10" i="3"/>
  <c r="J10" i="3"/>
  <c r="A11" i="3"/>
  <c r="G11" i="3"/>
  <c r="I11" i="3"/>
  <c r="J11" i="3"/>
  <c r="A12" i="3"/>
  <c r="G12" i="3"/>
  <c r="I12" i="3"/>
  <c r="J12" i="3"/>
  <c r="A13" i="3"/>
  <c r="G13" i="3"/>
  <c r="I13" i="3"/>
  <c r="J13" i="3"/>
  <c r="A14" i="3"/>
  <c r="G14" i="3"/>
  <c r="I14" i="3"/>
  <c r="J14" i="3"/>
  <c r="A15" i="3"/>
  <c r="G15" i="3"/>
  <c r="I15" i="3"/>
  <c r="J15" i="3"/>
  <c r="A16" i="3"/>
  <c r="G16" i="3"/>
  <c r="I16" i="3"/>
  <c r="J16" i="3"/>
  <c r="A17" i="3"/>
  <c r="G17" i="3"/>
  <c r="I17" i="3"/>
  <c r="J17" i="3"/>
  <c r="A18" i="3"/>
  <c r="G18" i="3"/>
  <c r="I18" i="3"/>
  <c r="J18" i="3"/>
  <c r="A19" i="3"/>
  <c r="G19" i="3"/>
  <c r="I19" i="3"/>
  <c r="J19" i="3"/>
  <c r="M20" i="3"/>
  <c r="O20" i="3"/>
  <c r="P20" i="3"/>
  <c r="Q20" i="3"/>
  <c r="R20" i="3"/>
  <c r="I25" i="3"/>
  <c r="AD19" i="3"/>
  <c r="AC19" i="3"/>
  <c r="AB19" i="3"/>
  <c r="AA19" i="3"/>
  <c r="AD18" i="3"/>
  <c r="AC18" i="3"/>
  <c r="AB18" i="3"/>
  <c r="AA18" i="3"/>
  <c r="AD17" i="3"/>
  <c r="AC17" i="3"/>
  <c r="AB17" i="3"/>
  <c r="AA17" i="3"/>
  <c r="AD16" i="3"/>
  <c r="AC16" i="3"/>
  <c r="AB16" i="3"/>
  <c r="AA16" i="3"/>
  <c r="AD15" i="3"/>
  <c r="AC15" i="3"/>
  <c r="AB15" i="3"/>
  <c r="AA15" i="3"/>
  <c r="AD14" i="3"/>
  <c r="AC14" i="3"/>
  <c r="AB14" i="3"/>
  <c r="AA14" i="3"/>
  <c r="AD13" i="3"/>
  <c r="AC13" i="3"/>
  <c r="AB13" i="3"/>
  <c r="AA13" i="3"/>
  <c r="AD12" i="3"/>
  <c r="AC12" i="3"/>
  <c r="AB12" i="3"/>
  <c r="AA12" i="3"/>
  <c r="AD11" i="3"/>
  <c r="AC11" i="3"/>
  <c r="AB11" i="3"/>
  <c r="AA11" i="3"/>
  <c r="AD10" i="3"/>
  <c r="AC10" i="3"/>
  <c r="AB10" i="3"/>
  <c r="AA10" i="3"/>
  <c r="AD9" i="3"/>
  <c r="AC9" i="3"/>
  <c r="AB9" i="3"/>
  <c r="AA9" i="3"/>
  <c r="AD8" i="3"/>
  <c r="AC8" i="3"/>
  <c r="AB8" i="3"/>
  <c r="AA8" i="3"/>
  <c r="AD7" i="3"/>
  <c r="AC7" i="3"/>
  <c r="AB7" i="3"/>
  <c r="AA7" i="3"/>
  <c r="AD6" i="3"/>
  <c r="AC6" i="3"/>
  <c r="AB6" i="3"/>
  <c r="AA6" i="3"/>
  <c r="AD5" i="3"/>
  <c r="AC5" i="3"/>
  <c r="AB5" i="3"/>
  <c r="AA5" i="3"/>
  <c r="AD4" i="3"/>
  <c r="AC4" i="3"/>
  <c r="AB4" i="3"/>
  <c r="AA4" i="3"/>
  <c r="AD3" i="3"/>
  <c r="AC3" i="3"/>
  <c r="AB3" i="3"/>
  <c r="AA3" i="3"/>
  <c r="AD2" i="3"/>
  <c r="AC2" i="3"/>
  <c r="AB2" i="3"/>
  <c r="AA2" i="3"/>
  <c r="Y19" i="3"/>
  <c r="X19" i="3"/>
  <c r="Y18" i="3"/>
  <c r="X18" i="3"/>
  <c r="Y17" i="3"/>
  <c r="X17" i="3"/>
  <c r="Y16" i="3"/>
  <c r="X16" i="3"/>
  <c r="Y15" i="3"/>
  <c r="X15" i="3"/>
  <c r="Y14" i="3"/>
  <c r="X14" i="3"/>
  <c r="Y13" i="3"/>
  <c r="X13" i="3"/>
  <c r="Y12" i="3"/>
  <c r="X12" i="3"/>
  <c r="Y11" i="3"/>
  <c r="X11" i="3"/>
  <c r="Y10" i="3"/>
  <c r="X10" i="3"/>
  <c r="Y9" i="3"/>
  <c r="X9" i="3"/>
  <c r="Y8" i="3"/>
  <c r="X8" i="3"/>
  <c r="Y7" i="3"/>
  <c r="X7" i="3"/>
  <c r="Y6" i="3"/>
  <c r="X6" i="3"/>
  <c r="Y5" i="3"/>
  <c r="X5" i="3"/>
  <c r="Y4" i="3"/>
  <c r="X4" i="3"/>
  <c r="Y3" i="3"/>
  <c r="X3" i="3"/>
  <c r="Y2" i="3"/>
  <c r="X2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W2" i="3"/>
  <c r="S20" i="3"/>
  <c r="D7" i="4" l="1"/>
  <c r="I13" i="4"/>
  <c r="B40" i="4"/>
  <c r="I15" i="4"/>
  <c r="B52" i="4"/>
  <c r="B53" i="4"/>
  <c r="B36" i="4"/>
  <c r="B22" i="4"/>
  <c r="I14" i="4"/>
  <c r="I12" i="4"/>
  <c r="D22" i="4"/>
  <c r="B28" i="4"/>
  <c r="D14" i="4"/>
  <c r="B46" i="4"/>
  <c r="B37" i="4"/>
  <c r="B1" i="4"/>
  <c r="D47" i="4"/>
  <c r="B51" i="4"/>
  <c r="D46" i="4"/>
  <c r="D8" i="4"/>
  <c r="B45" i="4"/>
  <c r="B30" i="4"/>
  <c r="B16" i="4"/>
  <c r="B19" i="4"/>
  <c r="B32" i="4"/>
  <c r="D30" i="4"/>
  <c r="B15" i="4"/>
  <c r="B21" i="4"/>
  <c r="B41" i="4"/>
  <c r="D31" i="4"/>
  <c r="B8" i="4"/>
  <c r="B33" i="4"/>
  <c r="B42" i="4"/>
  <c r="B38" i="4"/>
  <c r="D38" i="4"/>
  <c r="B11" i="4"/>
  <c r="B43" i="4"/>
  <c r="B35" i="4"/>
  <c r="I16" i="4"/>
  <c r="B31" i="4"/>
  <c r="B47" i="4"/>
  <c r="B14" i="4"/>
  <c r="B13" i="4"/>
  <c r="B3" i="4"/>
  <c r="B2" i="4" s="1"/>
  <c r="D16" i="4"/>
  <c r="B7" i="4"/>
  <c r="B6" i="4"/>
  <c r="B26" i="4"/>
  <c r="B12" i="4"/>
  <c r="B48" i="4"/>
  <c r="B23" i="4"/>
  <c r="B25" i="4"/>
  <c r="D15" i="4"/>
  <c r="D6" i="4"/>
  <c r="I17" i="4"/>
  <c r="D24" i="4"/>
  <c r="B39" i="4"/>
  <c r="B34" i="4"/>
  <c r="B50" i="4"/>
  <c r="D32" i="4"/>
  <c r="D39" i="4"/>
  <c r="D23" i="4"/>
  <c r="B44" i="4"/>
  <c r="B49" i="4"/>
  <c r="B20" i="4"/>
  <c r="B18" i="4"/>
  <c r="B17" i="4"/>
  <c r="D40" i="4"/>
  <c r="I18" i="4"/>
  <c r="B9" i="4"/>
  <c r="B10" i="4"/>
  <c r="B27" i="4"/>
  <c r="B29" i="4"/>
  <c r="B24" i="4"/>
  <c r="D48" i="4"/>
  <c r="B4" i="4" l="1"/>
  <c r="C53" i="4"/>
  <c r="I19" i="4"/>
  <c r="C21" i="4"/>
  <c r="C45" i="4"/>
  <c r="C4" i="4"/>
  <c r="C13" i="4"/>
  <c r="C37" i="4"/>
  <c r="C29" i="4"/>
</calcChain>
</file>

<file path=xl/sharedStrings.xml><?xml version="1.0" encoding="utf-8"?>
<sst xmlns="http://schemas.openxmlformats.org/spreadsheetml/2006/main" count="439" uniqueCount="293">
  <si>
    <t>Exercise Date &amp; Time</t>
  </si>
  <si>
    <t xml:space="preserve">
Exercise Type 
</t>
  </si>
  <si>
    <t>Scheduled Duration</t>
  </si>
  <si>
    <t>Recovery Locations Utilized</t>
  </si>
  <si>
    <t>Primary Participant Location</t>
  </si>
  <si>
    <t>Status</t>
  </si>
  <si>
    <t>2/10/2020 @ 8am ET - 2/14/2020 @ 4pm ET</t>
  </si>
  <si>
    <r>
      <t>Retail DR Exercise</t>
    </r>
    <r>
      <rPr>
        <i/>
        <sz val="10"/>
        <rFont val="Calibri"/>
        <family val="2"/>
        <scheme val="minor"/>
      </rPr>
      <t xml:space="preserve">
See In Scope Applications tab</t>
    </r>
    <r>
      <rPr>
        <b/>
        <sz val="10"/>
        <rFont val="Calibri"/>
        <family val="2"/>
        <scheme val="minor"/>
      </rPr>
      <t xml:space="preserve">
</t>
    </r>
  </si>
  <si>
    <t>5 days</t>
  </si>
  <si>
    <t xml:space="preserve">
CVS - Scottsdale, AZ
</t>
  </si>
  <si>
    <t>Remote</t>
  </si>
  <si>
    <t>CONFIRMED</t>
  </si>
  <si>
    <t>2/02/2020</t>
  </si>
  <si>
    <t>HOSTED DR Exercise
SALESFORCE.COM (SFDC)</t>
  </si>
  <si>
    <t>COMPLETED</t>
  </si>
  <si>
    <t>2/05/2020</t>
  </si>
  <si>
    <t>Hosted DR Exercise
ServiceNow</t>
  </si>
  <si>
    <t>2/11/2020</t>
  </si>
  <si>
    <t>Hosted DR Exercise
Visa (Cybersource)</t>
  </si>
  <si>
    <t>3/9/2020 @ 8am AZ - 3/15/2020 @ 1pm AZ</t>
  </si>
  <si>
    <r>
      <t xml:space="preserve">PBM DR Exercise
</t>
    </r>
    <r>
      <rPr>
        <i/>
        <sz val="10"/>
        <rFont val="Calibri"/>
        <family val="2"/>
        <scheme val="minor"/>
      </rPr>
      <t>See In Scope Applications tab</t>
    </r>
  </si>
  <si>
    <t>7 days</t>
  </si>
  <si>
    <t xml:space="preserve">CVS - Woonsocket, RI
SUN - Carlstadt, NJ
TER - San Diego, CA </t>
  </si>
  <si>
    <t>SUN - Scottsdale, AZ</t>
  </si>
  <si>
    <t>3/26/2020</t>
  </si>
  <si>
    <t>HOSTED DR Exercise
Pegasystems (Pega Implementation Mmgt)</t>
  </si>
  <si>
    <t>4/27/2020</t>
  </si>
  <si>
    <t>HOSTED DR Exercise
Broadpath (Bhive)</t>
  </si>
  <si>
    <t>5/11/2020 @ 8am AZ - 5/15/2020 @ 1pm AZ</t>
  </si>
  <si>
    <t xml:space="preserve">CVS - Woonsocket, RI
</t>
  </si>
  <si>
    <t>SUN - Scottsdale, AZ - TBD due to COVID-19</t>
  </si>
  <si>
    <t>5/11/2020</t>
  </si>
  <si>
    <t>HOSTED DR Exercise
McKinsey (Promo Advisor, Pricing Advisor)</t>
  </si>
  <si>
    <t>5/12/2020</t>
  </si>
  <si>
    <t>HOSTED DR Exercise
Cognizant (Facets)</t>
  </si>
  <si>
    <t>5/20/2020</t>
  </si>
  <si>
    <t>HOSTED DR Exercise
eGain</t>
  </si>
  <si>
    <t>5/23/2020</t>
  </si>
  <si>
    <t>HOSTED DR Exercise
ServiceChannel</t>
  </si>
  <si>
    <t>5/29/2020 - 5/30/2020</t>
  </si>
  <si>
    <t>HOSTED DR Exercise
Alight  (Workbrain, MyHR, Peoplesoft HRMS, Nucleus)</t>
  </si>
  <si>
    <t>6/15/2020 @ 8am ET - 6/21/2020 @ 4pm ET</t>
  </si>
  <si>
    <t xml:space="preserve">CVS - Scottsdale, AZ
SUN - Philadelphia, PA
</t>
  </si>
  <si>
    <t>6/10/2020</t>
  </si>
  <si>
    <t>HOSTED DR Exercise
Instamed</t>
  </si>
  <si>
    <t>6/22/2020</t>
  </si>
  <si>
    <t>HOSTED DR Exercise
Tealium</t>
  </si>
  <si>
    <t>06/24/2020</t>
  </si>
  <si>
    <t>HOSTED DR Exercise
IBM Kenexa  (Starsource)</t>
  </si>
  <si>
    <t>06/26/2020</t>
  </si>
  <si>
    <t>HOSTED DR Exercise
Infinite Blue (BCiTC)</t>
  </si>
  <si>
    <t>7/11/2020</t>
  </si>
  <si>
    <t xml:space="preserve">Hosted DR Exercise
O'Neil Digital Solutions </t>
  </si>
  <si>
    <t>8/01/2020</t>
  </si>
  <si>
    <t>HOSTED DR Exercise
Motionpoint</t>
  </si>
  <si>
    <t>8/2/2020</t>
  </si>
  <si>
    <t>HOSTED DR Exercise
Rego Consulting (via AWS) - (Clarity)</t>
  </si>
  <si>
    <t>8/23/2020</t>
  </si>
  <si>
    <t>HOSTED DR Exercise
OpenText (Coram - Fax2Mail)</t>
  </si>
  <si>
    <t>8/23/2021</t>
  </si>
  <si>
    <t>HOSTED DR Exercise
Thomson Reuters (Legal Tracker)</t>
  </si>
  <si>
    <t>8/26/2020`</t>
  </si>
  <si>
    <t>HOSTED DR Exercise
Trintech (Certification, ReconNet)</t>
  </si>
  <si>
    <t>8/27/2020</t>
  </si>
  <si>
    <t>HOSTED DR Exercise
Premium Vision/ Inetz (CVS Optical)</t>
  </si>
  <si>
    <t>8/31/2020</t>
  </si>
  <si>
    <t>HOSTED DR Exercise
IRI (CMG Portal)</t>
  </si>
  <si>
    <t>9/15/2020</t>
  </si>
  <si>
    <t>HOSTED DR Exercise
FIS (fka. Worldpay, Vantiv) -Digital Pay, Vantiv IQ</t>
  </si>
  <si>
    <t>HOSTED DR Exercise
ION (Wallstreet - City Financials)</t>
  </si>
  <si>
    <t>9/21/2020 @ 8am AZ - 9/27/2020 @ 1pm AZ</t>
  </si>
  <si>
    <t>SUN - Scottsdale, AZ - TBD</t>
  </si>
  <si>
    <t>9/21/2020</t>
  </si>
  <si>
    <t>HOSTED DR Exercise
Snapfish (CVS Photo)</t>
  </si>
  <si>
    <t>9/25/2020</t>
  </si>
  <si>
    <t>HOSTED DR Exercise
MedHOK</t>
  </si>
  <si>
    <t>10/02/2020</t>
  </si>
  <si>
    <t>HOSTED DR Exercise
Monetate</t>
  </si>
  <si>
    <t>10/05/2020</t>
  </si>
  <si>
    <t>HOSTED DR Exercise
Moxie</t>
  </si>
  <si>
    <t>10/19/2020 @ 8am ET - 10/25/2020 @ 4pm ET</t>
  </si>
  <si>
    <t>10/20/2020</t>
  </si>
  <si>
    <t>HOSTED DR Exercise
ECS Federal (ERR Planning Portal</t>
  </si>
  <si>
    <t>10/22/2020</t>
  </si>
  <si>
    <t>HOSTED DR Exercise
Mimecast</t>
  </si>
  <si>
    <t>12/02/2020</t>
  </si>
  <si>
    <t>HOSTED DR Exercise
Field2Base (F2B)</t>
  </si>
  <si>
    <t>Targeted for end of Q3</t>
  </si>
  <si>
    <t>HOSTED DR Exercise
NICE (NICE WFM only)</t>
  </si>
  <si>
    <t>Targeted for Q4</t>
  </si>
  <si>
    <t>HOSTED DR Exercise
athenahealth</t>
  </si>
  <si>
    <r>
      <t xml:space="preserve">HOSTED DR Exercise
</t>
    </r>
    <r>
      <rPr>
        <sz val="10"/>
        <rFont val="Calibri"/>
        <family val="2"/>
        <scheme val="minor"/>
      </rPr>
      <t>Ev</t>
    </r>
    <r>
      <rPr>
        <b/>
        <sz val="10"/>
        <rFont val="Calibri"/>
        <family val="2"/>
        <scheme val="minor"/>
      </rPr>
      <t>erbridge (Emergency Management System (EMS))</t>
    </r>
  </si>
  <si>
    <t>HOSTED DR Exercise
Mattersight (Behavioral Anaytics, Aceyus Reporting)</t>
  </si>
  <si>
    <t>HOSTED DR Exercise
RioSEO (minuteclinic.com)</t>
  </si>
  <si>
    <t>HOSTED DR Exercise
CSC TCI (License HQ)</t>
  </si>
  <si>
    <t>HOSTED DR Exercise
Welltok</t>
  </si>
  <si>
    <t xml:space="preserve">"Confirmed" indicates SUNGARD resources are confirmed…NOT that the scope has been locked down; app list may change  </t>
  </si>
  <si>
    <t xml:space="preserve"> </t>
  </si>
  <si>
    <r>
      <t>VM: 5/19/2017</t>
    </r>
    <r>
      <rPr>
        <b/>
        <u/>
        <sz val="10"/>
        <rFont val="Arial"/>
        <family val="2"/>
      </rPr>
      <t xml:space="preserve"> SCROLL TO TABLE BELOW</t>
    </r>
    <r>
      <rPr>
        <b/>
        <sz val="10"/>
        <rFont val="Arial"/>
        <family val="2"/>
      </rPr>
      <t xml:space="preserve">...per Nick Monaco, we rarely use the dates highlighted in GREEN so we do not need to take those dates into account for scheduling DR Test dates. 
</t>
    </r>
    <r>
      <rPr>
        <b/>
        <u/>
        <sz val="10"/>
        <rFont val="Arial"/>
        <family val="2"/>
      </rPr>
      <t>IN ADDITION to scheduling around Major App Releases</t>
    </r>
    <r>
      <rPr>
        <b/>
        <sz val="10"/>
        <rFont val="Arial"/>
        <family val="2"/>
      </rPr>
      <t xml:space="preserve"> (3rd week of month; scheduled every other month), we are being asked to schedule DR testing around the </t>
    </r>
    <r>
      <rPr>
        <b/>
        <u/>
        <sz val="10"/>
        <rFont val="Arial"/>
        <family val="2"/>
      </rPr>
      <t>MONTHLY</t>
    </r>
    <r>
      <rPr>
        <b/>
        <sz val="10"/>
        <rFont val="Arial"/>
        <family val="2"/>
      </rPr>
      <t xml:space="preserve"> EITS Maintenance Schedule - 2nd weekend of every month, beginning Saturday 23:00 into Sunday morning. (EITS Maintenance highlighted in BLUE)
</t>
    </r>
  </si>
  <si>
    <r>
      <t xml:space="preserve">VM: 5/19/2017 per Nick Monaco, we rarely use the dates highlighted in GREEN so we do not need to take those dates into account for scheduling DR Test dates. 
</t>
    </r>
    <r>
      <rPr>
        <b/>
        <u/>
        <sz val="10"/>
        <rFont val="Arial"/>
        <family val="2"/>
      </rPr>
      <t>IN ADDITION to scheduling around Major App Releases</t>
    </r>
    <r>
      <rPr>
        <b/>
        <sz val="10"/>
        <rFont val="Arial"/>
        <family val="2"/>
      </rPr>
      <t xml:space="preserve"> (scheduled every other month), we are being asked to schedule DR testing around the </t>
    </r>
    <r>
      <rPr>
        <b/>
        <u/>
        <sz val="10"/>
        <rFont val="Arial"/>
        <family val="2"/>
      </rPr>
      <t>MONTHLY</t>
    </r>
    <r>
      <rPr>
        <b/>
        <sz val="10"/>
        <rFont val="Arial"/>
        <family val="2"/>
      </rPr>
      <t xml:space="preserve"> EITS Maintenance Schedule - 2nd weekend of every month, beginning Saturday 23:00 into Sunday morning. (EITS Maintenance highlighted in BLUE)</t>
    </r>
  </si>
  <si>
    <t>Business Unit</t>
  </si>
  <si>
    <t>PROD Data Center</t>
  </si>
  <si>
    <t>Tier</t>
  </si>
  <si>
    <t>RTO</t>
  </si>
  <si>
    <t>RPO</t>
  </si>
  <si>
    <t>SOX</t>
  </si>
  <si>
    <t>Application</t>
  </si>
  <si>
    <t>Recovery Location</t>
  </si>
  <si>
    <t>Last Exercise Date</t>
  </si>
  <si>
    <t>RTA</t>
  </si>
  <si>
    <t>Next Exercise Date</t>
  </si>
  <si>
    <t>2/10/2020
EAST</t>
  </si>
  <si>
    <t>3/9/2020
WEST</t>
  </si>
  <si>
    <t>5/11/2020
WEST</t>
  </si>
  <si>
    <t>6/15/2020 EAST</t>
  </si>
  <si>
    <t>9/21/2020
WEST</t>
  </si>
  <si>
    <t>10/19/2020
EAST</t>
  </si>
  <si>
    <t>Failover Test</t>
  </si>
  <si>
    <t>Notes</t>
  </si>
  <si>
    <t>IT Risks</t>
  </si>
  <si>
    <t>Recovery Strategy</t>
  </si>
  <si>
    <t>Recovery Capability Comments</t>
  </si>
  <si>
    <t>Testing Limitation</t>
  </si>
  <si>
    <t>Testing Limitation Comments</t>
  </si>
  <si>
    <t>2020 Test Required</t>
  </si>
  <si>
    <t>DR Plan</t>
  </si>
  <si>
    <t>ITLT Member</t>
  </si>
  <si>
    <t>Date Tier Changed</t>
  </si>
  <si>
    <t>Previous Tier</t>
  </si>
  <si>
    <t>ACQ2.0</t>
  </si>
  <si>
    <t>AIRWATCH</t>
  </si>
  <si>
    <t>APIGEE Edge API Management</t>
  </si>
  <si>
    <t>Artifactory OSS</t>
  </si>
  <si>
    <t>ATG SEARCH</t>
  </si>
  <si>
    <t>AUTOMIZE</t>
  </si>
  <si>
    <t>AVAYA CMS</t>
  </si>
  <si>
    <t>7/24 test failed - retest 9/18</t>
  </si>
  <si>
    <t>Avaya Officelinx Voicemail</t>
  </si>
  <si>
    <t>Rescheduled from 6/26/20; rescheduled from 7/31/20</t>
  </si>
  <si>
    <t>BCC (MERCHANDISING)</t>
  </si>
  <si>
    <t>BCD-CM</t>
  </si>
  <si>
    <t>CAREMARK.COM CLIENT - COVENTRY HEALTH CARE</t>
  </si>
  <si>
    <t>Active/Passive removed from scope</t>
  </si>
  <si>
    <t>Centrify</t>
  </si>
  <si>
    <t>CISCO</t>
  </si>
  <si>
    <t>Changed from 3/13/2020 and 6/19/2020</t>
  </si>
  <si>
    <t>CISCO CONTEXT STORE</t>
  </si>
  <si>
    <t>rescheduled - TBD (previously 4/16)</t>
  </si>
  <si>
    <t>CISCO ICM</t>
  </si>
  <si>
    <t>rescheduled - TBD (previously 4/23)</t>
  </si>
  <si>
    <t>CISCO VOICE PORTAL</t>
  </si>
  <si>
    <t>Changed from 3/20/2020 and 6/19/2020</t>
  </si>
  <si>
    <t>CLIENT ACTIVITY PORTAL</t>
  </si>
  <si>
    <t>Needs to be tested w/ PBM MEMBER SERVICE REPORTING</t>
  </si>
  <si>
    <t>CLINICAL SERVICES EPIC FHIR</t>
  </si>
  <si>
    <t>7/20 - Going Live Estimated for October 2020</t>
  </si>
  <si>
    <t>CPOS - CVS Point of Sale Rebates</t>
  </si>
  <si>
    <t>DBPL - Digital Business Processing Layer</t>
  </si>
  <si>
    <t>DES</t>
  </si>
  <si>
    <t>DIGITAL GUARDIAN</t>
  </si>
  <si>
    <t>Forcepoint</t>
  </si>
  <si>
    <t>HiveCenter Automation Platform</t>
  </si>
  <si>
    <t>MDT - Member Data Transition</t>
  </si>
  <si>
    <t>Hosted</t>
  </si>
  <si>
    <t>Semafone</t>
  </si>
  <si>
    <t>SOPHOS</t>
  </si>
  <si>
    <t>VMWARE VIEW - ENTERPRISE</t>
  </si>
  <si>
    <t>2020 Testing Not Required</t>
  </si>
  <si>
    <t>Has open risk</t>
  </si>
  <si>
    <t>Undefined</t>
  </si>
  <si>
    <r>
      <rPr>
        <vertAlign val="superscript"/>
        <sz val="10"/>
        <rFont val="Calibri"/>
        <family val="2"/>
        <scheme val="minor"/>
      </rPr>
      <t>1</t>
    </r>
    <r>
      <rPr>
        <sz val="10"/>
        <rFont val="Calibri"/>
        <family val="2"/>
        <scheme val="minor"/>
      </rPr>
      <t xml:space="preserve"> - Application participation is dependent upon final scope of the scheduled exercise</t>
    </r>
  </si>
  <si>
    <t>Application Data Imported from BCitC</t>
  </si>
  <si>
    <t>Test Date</t>
  </si>
  <si>
    <t>Recovery Capability</t>
  </si>
  <si>
    <t>Approving IT Manager</t>
  </si>
  <si>
    <t>Plan Owner</t>
  </si>
  <si>
    <t>Date Provided By</t>
  </si>
  <si>
    <t>Test Plan Created</t>
  </si>
  <si>
    <t>Test Plan Draft</t>
  </si>
  <si>
    <t>Test Plan Approved</t>
  </si>
  <si>
    <t>Test Results Draft</t>
  </si>
  <si>
    <t>Test Results Approved</t>
  </si>
  <si>
    <t>Close Exercise in BCITC</t>
  </si>
  <si>
    <t>N/A</t>
  </si>
  <si>
    <t>Y</t>
  </si>
  <si>
    <t>y</t>
  </si>
  <si>
    <t>Afeef Mohammad</t>
  </si>
  <si>
    <t>Yes</t>
  </si>
  <si>
    <t>David Smith</t>
  </si>
  <si>
    <t>Yes and sent 8/4</t>
  </si>
  <si>
    <t>Yes - new</t>
  </si>
  <si>
    <t>Diane Grinton</t>
  </si>
  <si>
    <t>decommed</t>
  </si>
  <si>
    <t>Tim Bergin</t>
  </si>
  <si>
    <t>8/19 - sent</t>
  </si>
  <si>
    <t>Lisa Palmer
Sue Nargi</t>
  </si>
  <si>
    <t>7.28 and sent</t>
  </si>
  <si>
    <r>
      <t>6/29 - sent reminder note for draft test plan.
Postponed from 6/26. Director approval posted.
7/8 - sent 2nd reminder for draft test plan
7/16 - 3d request sent
7/20 - Juli sent 4th reminder for draft test plan
7/24 - Juli sent 5th reminder for draft tet plan
7/27 - Sue finally responded, need to change date so Juli sent her the instructions to change date. Also sent her Test Plan Template and checklist.</t>
    </r>
    <r>
      <rPr>
        <b/>
        <sz val="10"/>
        <rFont val="Calibri"/>
        <family val="2"/>
        <scheme val="minor"/>
      </rPr>
      <t xml:space="preserve">
</t>
    </r>
    <r>
      <rPr>
        <sz val="10"/>
        <rFont val="Calibri"/>
        <family val="2"/>
        <scheme val="minor"/>
      </rPr>
      <t>7/28 - Sue sent new date of 8/31 - Juli created a test plan and sent checklist to help her.
8/17 - Juli sent reminder for draft
8/18 - Sue Nargi responded that she will have draft tomorrow.
8/19 - Sue wants to push to 9/11 - sent instructions
8/19 - Also reviewed Test Plan - many issues, sent email back to make updates and send back to me prior to 9/11
8/19 - date changed to 9/11
8/31 - Met with app team - cannot perform failover. Risk may be needed.
9/2 - App team is investigating alternative verification method.</t>
    </r>
    <r>
      <rPr>
        <b/>
        <sz val="10"/>
        <rFont val="Calibri"/>
        <family val="2"/>
        <scheme val="minor"/>
      </rPr>
      <t xml:space="preserve">
</t>
    </r>
    <r>
      <rPr>
        <sz val="10"/>
        <rFont val="Calibri"/>
        <family val="2"/>
        <scheme val="minor"/>
      </rPr>
      <t>9/14 - meeting set for 9/17</t>
    </r>
    <r>
      <rPr>
        <b/>
        <sz val="10"/>
        <rFont val="Calibri"/>
        <family val="2"/>
        <scheme val="minor"/>
      </rPr>
      <t xml:space="preserve">
10/8 - ITRSK-10601 opened.</t>
    </r>
  </si>
  <si>
    <t>Josephine Zahn
Venki S.</t>
  </si>
  <si>
    <t>Yes and sent 8/24</t>
  </si>
  <si>
    <r>
      <rPr>
        <sz val="10"/>
        <rFont val="Calibri"/>
        <family val="2"/>
        <scheme val="minor"/>
      </rPr>
      <t>8/24 - Juli met with Application Team to discuss Failover; added them to schedule; provided them with draft test plan - Josephine Zahn is Manager and Director; she will get a delegate to sign off as manager</t>
    </r>
    <r>
      <rPr>
        <b/>
        <sz val="10"/>
        <rFont val="Calibri"/>
        <family val="2"/>
        <scheme val="minor"/>
      </rPr>
      <t xml:space="preserve">
</t>
    </r>
  </si>
  <si>
    <t>Robert Galas</t>
  </si>
  <si>
    <r>
      <t xml:space="preserve">6/29 - sent reminder note for draft test plan.
7/8 - app team is on track for 7/24
7/28 - Test FAILED - Suzette sent email asking about re-test, remediation, etc. 
7/29 - Lee getting Test Results approved and confirming new test date
7/30 - 9/18 is the tentative re-test date. </t>
    </r>
    <r>
      <rPr>
        <b/>
        <sz val="10"/>
        <rFont val="Calibri"/>
        <family val="2"/>
        <scheme val="minor"/>
      </rPr>
      <t xml:space="preserve">
</t>
    </r>
    <r>
      <rPr>
        <sz val="10"/>
        <rFont val="Calibri"/>
        <family val="2"/>
        <scheme val="minor"/>
      </rPr>
      <t>9/10 - confirmed 9/18 as new test date. Test plan in progress</t>
    </r>
  </si>
  <si>
    <t xml:space="preserve">
6/1 - requested new date
Reschduled from 4/16/20 due to COVID19
8/19 - Juli sent reminder for new date
8/19 - Juli spoke to Tim and he committed to 9/4 weekend.
8/31 - sent request for update
9/3 - date change in progress
9/14 - requested draft plan from Sean King - Sean recently took ownership of CISCO ICM. There was concern over who should approve the failover.</t>
  </si>
  <si>
    <t>yes</t>
  </si>
  <si>
    <r>
      <t>6/5 - originally scheduled for 6/30
6/22 - sent note to Dharmendra Gudimetla
6/25 - sent reminder note to Dhamendra
6/29 - meeting to be set up with application team
7/8 - meeeting set for 7/13
8/19 - sent request for update sent to Jay
9/2 - Renee sent escalation for test date - 9/18
9/14 - sent note to Prashanth Chinnaraja requesting approved test plan.</t>
    </r>
    <r>
      <rPr>
        <b/>
        <sz val="10"/>
        <rFont val="Calibri"/>
        <family val="2"/>
        <scheme val="minor"/>
      </rPr>
      <t xml:space="preserve">
</t>
    </r>
    <r>
      <rPr>
        <sz val="10"/>
        <rFont val="Calibri"/>
        <family val="2"/>
        <scheme val="minor"/>
      </rPr>
      <t>9/16 - Renee sent request for status of test plan - in progress</t>
    </r>
    <r>
      <rPr>
        <b/>
        <sz val="10"/>
        <rFont val="Calibri"/>
        <family val="2"/>
        <scheme val="minor"/>
      </rPr>
      <t xml:space="preserve">
</t>
    </r>
    <r>
      <rPr>
        <sz val="10"/>
        <rFont val="Calibri"/>
        <family val="2"/>
        <scheme val="minor"/>
      </rPr>
      <t>9/17 - Suzette sent request for approved plan.</t>
    </r>
  </si>
  <si>
    <t>PBM Member Service Reporting</t>
  </si>
  <si>
    <t>Deni Ventura</t>
  </si>
  <si>
    <t>9/16/2020
10/13/2020</t>
  </si>
  <si>
    <t>9/23/2020
10/28/2020</t>
  </si>
  <si>
    <t>9/23/2020
11/4/2020</t>
  </si>
  <si>
    <r>
      <t xml:space="preserve">Y - 10/17
</t>
    </r>
    <r>
      <rPr>
        <sz val="10"/>
        <color rgb="FFFF0000"/>
        <rFont val="Calibri"/>
        <family val="2"/>
        <scheme val="minor"/>
      </rPr>
      <t>Will need to open new when 3rd test date is determinded</t>
    </r>
  </si>
  <si>
    <r>
      <t>6/29 - sent reminder note for draft test plan.
7/8 - sent 2nd reminder for draft test plan
7/16 - received director approval to rescheduled from 7/29 to 9/3
8/5 - Sent Sept email notification of failover dates and expectations
8/10  - sent draft test plan</t>
    </r>
    <r>
      <rPr>
        <b/>
        <sz val="10"/>
        <rFont val="Calibri"/>
        <family val="2"/>
        <scheme val="minor"/>
      </rPr>
      <t xml:space="preserve">
</t>
    </r>
    <r>
      <rPr>
        <sz val="10"/>
        <rFont val="Calibri"/>
        <family val="2"/>
        <scheme val="minor"/>
      </rPr>
      <t>8/25 - Rec'd email they need to change date; TBD
8/31 - sent follow up note - Kevnin Nelson advised that date change approval is in progress.</t>
    </r>
    <r>
      <rPr>
        <b/>
        <sz val="10"/>
        <rFont val="Calibri"/>
        <family val="2"/>
        <scheme val="minor"/>
      </rPr>
      <t xml:space="preserve">
</t>
    </r>
    <r>
      <rPr>
        <sz val="10"/>
        <rFont val="Calibri"/>
        <family val="2"/>
        <scheme val="minor"/>
      </rPr>
      <t>9/1 - Date change approval received. Date changed to 9/19</t>
    </r>
    <r>
      <rPr>
        <b/>
        <sz val="10"/>
        <rFont val="Calibri"/>
        <family val="2"/>
        <scheme val="minor"/>
      </rPr>
      <t xml:space="preserve">
</t>
    </r>
    <r>
      <rPr>
        <sz val="10"/>
        <rFont val="Calibri"/>
        <family val="2"/>
        <scheme val="minor"/>
      </rPr>
      <t>9/16 - RFC in progress. Approved test plan received.
9/23 - Appliction failed - new test date is required.
10/8 - new test date set for 10/17.</t>
    </r>
    <r>
      <rPr>
        <b/>
        <sz val="10"/>
        <rFont val="Calibri"/>
        <family val="2"/>
        <scheme val="minor"/>
      </rPr>
      <t xml:space="preserve">
</t>
    </r>
    <r>
      <rPr>
        <sz val="10"/>
        <rFont val="Calibri"/>
        <family val="2"/>
        <scheme val="minor"/>
      </rPr>
      <t xml:space="preserve">10/13 - approved test plan received.
10/26 - Sent reminder to Denis for the Results - now due!
10/28 - Denis replied and it failed again. Told him to get approvals on the failed doc and let us know when resolution and new date is determined.  
</t>
    </r>
    <r>
      <rPr>
        <b/>
        <sz val="10"/>
        <rFont val="Calibri"/>
        <family val="2"/>
        <scheme val="minor"/>
      </rPr>
      <t>11/11 - Sent Denis email asking for new test date.</t>
    </r>
  </si>
  <si>
    <t>Don Carsia</t>
  </si>
  <si>
    <t>February</t>
  </si>
  <si>
    <t>HCB</t>
  </si>
  <si>
    <t>Aetna Navigator Secure - HCB</t>
  </si>
  <si>
    <t>Reported on February Executive Summary report</t>
  </si>
  <si>
    <t>Yes and sent 7/13</t>
  </si>
  <si>
    <r>
      <t xml:space="preserve">6/29 - sent reminder note for draft test plan.
7/8 - sent 2nd reminder for draft test plan - new test date will be requested. Date change form sent.
7/16 - requested update
7/17 - Juli sent follow up email 
7/20 - Juli sent follow up email again
7/21 - CG - Date changed to 9/18
8/5 - Sent Sept email notification of failover dates and expectations
8/10  - sent draft test plan
</t>
    </r>
    <r>
      <rPr>
        <b/>
        <sz val="10"/>
        <rFont val="Calibri"/>
        <family val="2"/>
        <scheme val="minor"/>
      </rPr>
      <t>9/8 - ITRSK 10555 opened, application cannot execute testing</t>
    </r>
  </si>
  <si>
    <r>
      <t>8/5 - Sent Sept email notification of failover dates and expectations
9/14 - sent request for update to Diane.</t>
    </r>
    <r>
      <rPr>
        <b/>
        <sz val="10"/>
        <rFont val="Calibri"/>
        <family val="2"/>
        <scheme val="minor"/>
      </rPr>
      <t xml:space="preserve">
9/30 - migrated to cloud per Diane.</t>
    </r>
  </si>
  <si>
    <r>
      <t xml:space="preserve">8/5 - Sent Sept email notification of failover dates and expectations
8/10  - sent draft test plan
8/24 - Rec'd Draft, RFC and Timeline missing; asked them to provide
</t>
    </r>
    <r>
      <rPr>
        <b/>
        <sz val="10"/>
        <rFont val="Calibri"/>
        <family val="2"/>
        <scheme val="minor"/>
      </rPr>
      <t>9/30 - will migrate to cloud October 2020 per Diane.</t>
    </r>
  </si>
  <si>
    <t>Kenneth Gumbulevich</t>
  </si>
  <si>
    <t xml:space="preserve">
</t>
  </si>
  <si>
    <t>6/22 - sent reminder note for failover test plan to Lisa Palmer. Lisa Palmer advised she is not the application owner.
6/25 Semafone requires failover duing quarterly maintenance window. Rescheduled from 6/26 to 7/17. Meeting set for 6/29.
6/29 - meeting held with Kenneth Gumbelevich - advised of testing limitations for Semafone
7/1 - discussed with Deb - Semafone will need to coordinate with Semafone vendor. Advised Kenneth Gumbulevich via email.
7/2 - meeting set for 7/7 with Kenneth.
7/8 - meeting with Kenneth; Deb W; and Semafone SME set for 7/14
7/14 - Semafone POC resigned from Semafone. Meeting set for 7/17 with new POC from Semafone.
7/17 - met with Ken and Semafone SMEs - more analysis is needed. Semafone is unable to perform failover due to dependency upon voice infrastructure. Research in progress to determine whether a RISK is needed.</t>
  </si>
  <si>
    <r>
      <t>6/3 - Joe sent request date email to Keith Christie; 7/8 Juli sent email to Brian Smith (Mgr listed) - Brian responded that Keith Christie is the correct manager. Keith responded that he is interim and will get with Brian Tam (currently on PTO) week of 7/13 and get a date confirmed. 7/10 - Brian confirmed 8.28
7/17 - August Exercise Reminder Sent
8/11 - Meeting with Brian today to discuss Failover</t>
    </r>
    <r>
      <rPr>
        <b/>
        <sz val="10"/>
        <rFont val="Calibri"/>
        <family val="2"/>
        <scheme val="minor"/>
      </rPr>
      <t xml:space="preserve">
10/2 - multiple meetings conducted. Forcepoint is considered a proxy, not an application. Descoping from Failover DR Exercise Schedule.</t>
    </r>
  </si>
  <si>
    <t>CIPHERCLOUD</t>
  </si>
  <si>
    <t>William Person</t>
  </si>
  <si>
    <r>
      <t xml:space="preserve">6/29 - sent reminder note for draft test plan.
6/30 - Ciphercloud decommed 
7/15 - decommissioning entire application and all systems by the end of this month.  Teamtrack ticket # UNIX06763 and UNIX 06764
</t>
    </r>
    <r>
      <rPr>
        <b/>
        <sz val="10"/>
        <rFont val="Calibri"/>
        <family val="2"/>
        <scheme val="minor"/>
      </rPr>
      <t xml:space="preserve">10/2 - Ciphercloud components removed from uCMDB. </t>
    </r>
  </si>
  <si>
    <t>Michael Talman</t>
  </si>
  <si>
    <t>Needs to be created</t>
  </si>
  <si>
    <r>
      <t>6/18/20 added - 7/8 Juli sent request date email - Wayne responded: Juli - we have already tested the Minute Clinic environment this year.  This particular app is integrated with that infrastructure, so it may have already been tested as part of that exercise.
7/20 - Going Live Estimated for October 2020</t>
    </r>
    <r>
      <rPr>
        <b/>
        <sz val="10"/>
        <rFont val="Calibri"/>
        <family val="2"/>
        <scheme val="minor"/>
      </rPr>
      <t xml:space="preserve">
10/13 - ITRSK-10603 opened. </t>
    </r>
  </si>
  <si>
    <t>Vijay Santha</t>
  </si>
  <si>
    <r>
      <t>6/29 - sent reminder note for draft test plan.
7/8 - sent 2nd reminder for draft test plan
7/16 - 3rd request sent
7/23 - Juli sent instructions to change the date</t>
    </r>
    <r>
      <rPr>
        <b/>
        <sz val="10"/>
        <rFont val="Calibri"/>
        <family val="2"/>
        <scheme val="minor"/>
      </rPr>
      <t xml:space="preserve">
</t>
    </r>
    <r>
      <rPr>
        <sz val="10"/>
        <rFont val="Calibri"/>
        <family val="2"/>
        <scheme val="minor"/>
      </rPr>
      <t>8/5 - Cory sent Escalation email - Srinivas Loke replied that this application is not live yet and date is TBD and Balakrishnan, Ramya &lt;Ramya.Balakrishnan@CVSHealth.com&gt; will be the application owner</t>
    </r>
    <r>
      <rPr>
        <b/>
        <sz val="10"/>
        <rFont val="Calibri"/>
        <family val="2"/>
        <scheme val="minor"/>
      </rPr>
      <t xml:space="preserve">
10/14 - DES is not live in production yet.
</t>
    </r>
  </si>
  <si>
    <r>
      <t xml:space="preserve">7/8 - Met with application team. Digital Guardian is in the process of upgrading their infrastructure. The updgrade will not be completed by 8/8 due to hardware procurements. 
7/15 - date change being requested - sent approval form to Alen Peco
</t>
    </r>
    <r>
      <rPr>
        <b/>
        <sz val="10"/>
        <rFont val="Calibri"/>
        <family val="2"/>
        <scheme val="minor"/>
      </rPr>
      <t>7/15 - ITRSK-10481 opened</t>
    </r>
  </si>
  <si>
    <t>Total Applications</t>
  </si>
  <si>
    <t>Applications that do not have a testing requirement for 2018</t>
  </si>
  <si>
    <t>Applications that are out of scope for DR</t>
  </si>
  <si>
    <t>Applications scheduled for testing in 2018</t>
  </si>
  <si>
    <t>Coram</t>
  </si>
  <si>
    <t>Risks</t>
  </si>
  <si>
    <t>Tier 1</t>
  </si>
  <si>
    <t>DR Testing Limitation</t>
  </si>
  <si>
    <t>Tier 2</t>
  </si>
  <si>
    <t>At risk of recovery</t>
  </si>
  <si>
    <t>Tier 3</t>
  </si>
  <si>
    <t>Tier 4</t>
  </si>
  <si>
    <t>Tier 5</t>
  </si>
  <si>
    <t>Tier 9z</t>
  </si>
  <si>
    <t>Total Tier 1</t>
  </si>
  <si>
    <t>Total Tier 2</t>
  </si>
  <si>
    <t>Enterprise</t>
  </si>
  <si>
    <t>Total Tier 3</t>
  </si>
  <si>
    <t>Total Tier 4</t>
  </si>
  <si>
    <t>Total Tier 5</t>
  </si>
  <si>
    <t>Total Tier 9z</t>
  </si>
  <si>
    <t>Total Undefined</t>
  </si>
  <si>
    <t>Tire 9z</t>
  </si>
  <si>
    <t>Omnicare</t>
  </si>
  <si>
    <t>PBM</t>
  </si>
  <si>
    <t>Retail</t>
  </si>
  <si>
    <t>Revision Date</t>
  </si>
  <si>
    <t>Author</t>
  </si>
  <si>
    <t xml:space="preserve">Revision Description </t>
  </si>
  <si>
    <t>Cory Goz</t>
  </si>
  <si>
    <t>Added CAREMARK.COM - CCA - CLIENT ONLINE SERVICES (CCA-COS) to May exercise at the request of the application team</t>
  </si>
  <si>
    <t>Added OnBase to March exercise as application has resolved their risk</t>
  </si>
  <si>
    <t>TestEDRReview</t>
  </si>
  <si>
    <t>TestEDRReviewDate</t>
  </si>
  <si>
    <t>PostTestITDirectorDate</t>
  </si>
  <si>
    <t>PostTestITManagerDate</t>
  </si>
  <si>
    <t>PostTestEDRReviewDate</t>
  </si>
  <si>
    <t>TestITDirectorDate</t>
  </si>
  <si>
    <t>TestITManagerDate</t>
  </si>
  <si>
    <t>PostTestITDirector</t>
  </si>
  <si>
    <t>PostTestITManager</t>
  </si>
  <si>
    <t>PostTestEDRReview</t>
  </si>
  <si>
    <t>TestITDirector</t>
  </si>
  <si>
    <t>TestITManager</t>
  </si>
  <si>
    <t>CompletedResults</t>
  </si>
  <si>
    <t>DueDate (Test Start Date)</t>
  </si>
  <si>
    <t>ApprovingDirector</t>
  </si>
  <si>
    <t>ApprovingManager</t>
  </si>
  <si>
    <t>BusinessUnit</t>
  </si>
  <si>
    <t>TestPlanOwner</t>
  </si>
  <si>
    <t>TestEDRReviewUser</t>
  </si>
  <si>
    <t>TestITManagerUser</t>
  </si>
  <si>
    <t>TestITDirectorUser</t>
  </si>
  <si>
    <t>PostTestEDRReviewUser</t>
  </si>
  <si>
    <t>PostTestITManagerUser</t>
  </si>
  <si>
    <t>PostTestITDirectorUser</t>
  </si>
  <si>
    <t>masyuk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</si>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</sst>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:ss;@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color indexed="8"/>
      <name val="Calibri"/>
      <family val="2"/>
      <scheme val="minor"/>
    </font>
    <font>
      <i/>
      <sz val="10"/>
      <name val="Calibri"/>
      <family val="2"/>
      <scheme val="minor"/>
    </font>
    <font>
      <sz val="9"/>
      <color theme="1"/>
      <name val="Century Gothic"/>
      <family val="2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theme="0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trike/>
      <sz val="10"/>
      <name val="Calibri"/>
      <family val="2"/>
      <scheme val="minor"/>
    </font>
    <font>
      <sz val="8"/>
      <name val="Calibri"/>
      <family val="2"/>
      <scheme val="minor"/>
    </font>
    <font>
      <vertAlign val="superscript"/>
      <sz val="10"/>
      <name val="Calibri"/>
      <family val="2"/>
      <scheme val="minor"/>
    </font>
    <font>
      <i/>
      <sz val="8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FFCC99"/>
      <name val="Calibri"/>
      <family val="2"/>
      <scheme val="minor"/>
    </font>
    <font>
      <sz val="10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0" fontId="2" fillId="0" borderId="0"/>
    <xf numFmtId="0" fontId="2" fillId="0" borderId="0"/>
    <xf numFmtId="0" fontId="7" fillId="0" borderId="0"/>
    <xf numFmtId="0" fontId="9" fillId="0" borderId="0"/>
    <xf numFmtId="0" fontId="1" fillId="0" borderId="0"/>
    <xf numFmtId="0" fontId="6" fillId="9" borderId="1"/>
    <xf numFmtId="0" fontId="10" fillId="8" borderId="1"/>
    <xf numFmtId="16" fontId="6" fillId="6" borderId="1">
      <alignment horizontal="left" wrapText="1"/>
    </xf>
    <xf numFmtId="0" fontId="6" fillId="7" borderId="1"/>
  </cellStyleXfs>
  <cellXfs count="148">
    <xf numFmtId="0" fontId="0" fillId="0" borderId="0" xfId="0"/>
    <xf numFmtId="49" fontId="6" fillId="3" borderId="1" xfId="0" applyNumberFormat="1" applyFont="1" applyFill="1" applyBorder="1" applyAlignment="1">
      <alignment vertical="top" wrapText="1"/>
    </xf>
    <xf numFmtId="0" fontId="6" fillId="3" borderId="1" xfId="0" applyFont="1" applyFill="1" applyBorder="1" applyAlignment="1">
      <alignment vertical="top" wrapText="1"/>
    </xf>
    <xf numFmtId="0" fontId="6" fillId="3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wrapText="1"/>
    </xf>
    <xf numFmtId="49" fontId="6" fillId="0" borderId="1" xfId="0" applyNumberFormat="1" applyFont="1" applyFill="1" applyBorder="1" applyAlignment="1">
      <alignment vertical="top" wrapText="1"/>
    </xf>
    <xf numFmtId="0" fontId="6" fillId="0" borderId="1" xfId="0" applyFont="1" applyFill="1" applyBorder="1" applyAlignment="1">
      <alignment vertical="top" wrapText="1"/>
    </xf>
    <xf numFmtId="0" fontId="6" fillId="0" borderId="1" xfId="0" applyFont="1" applyFill="1" applyBorder="1" applyAlignment="1">
      <alignment horizontal="center" vertical="top" wrapText="1"/>
    </xf>
    <xf numFmtId="0" fontId="6" fillId="0" borderId="1" xfId="0" applyFont="1" applyBorder="1" applyAlignment="1">
      <alignment vertical="top" wrapText="1"/>
    </xf>
    <xf numFmtId="0" fontId="6" fillId="0" borderId="0" xfId="0" applyFont="1" applyFill="1" applyAlignment="1">
      <alignment wrapText="1"/>
    </xf>
    <xf numFmtId="0" fontId="5" fillId="4" borderId="1" xfId="0" applyFont="1" applyFill="1" applyBorder="1" applyAlignment="1">
      <alignment vertical="top" wrapText="1"/>
    </xf>
    <xf numFmtId="49" fontId="6" fillId="0" borderId="0" xfId="0" applyNumberFormat="1" applyFont="1" applyAlignment="1">
      <alignment vertical="top" wrapText="1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horizontal="center" vertical="top" wrapText="1"/>
    </xf>
    <xf numFmtId="0" fontId="5" fillId="0" borderId="1" xfId="0" applyFont="1" applyFill="1" applyBorder="1" applyAlignment="1">
      <alignment vertical="top" wrapText="1"/>
    </xf>
    <xf numFmtId="49" fontId="5" fillId="2" borderId="1" xfId="0" applyNumberFormat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49" fontId="6" fillId="0" borderId="1" xfId="0" applyNumberFormat="1" applyFont="1" applyBorder="1" applyAlignment="1">
      <alignment vertical="top" wrapText="1"/>
    </xf>
    <xf numFmtId="0" fontId="6" fillId="0" borderId="0" xfId="0" applyFont="1"/>
    <xf numFmtId="49" fontId="6" fillId="0" borderId="0" xfId="0" applyNumberFormat="1" applyFont="1" applyBorder="1" applyAlignment="1">
      <alignment vertical="top" wrapText="1"/>
    </xf>
    <xf numFmtId="0" fontId="3" fillId="0" borderId="0" xfId="1" applyFont="1"/>
    <xf numFmtId="0" fontId="3" fillId="0" borderId="0" xfId="1"/>
    <xf numFmtId="0" fontId="3" fillId="0" borderId="0" xfId="1" applyAlignment="1">
      <alignment horizontal="right"/>
    </xf>
    <xf numFmtId="0" fontId="3" fillId="0" borderId="0" xfId="1" applyFill="1"/>
    <xf numFmtId="0" fontId="14" fillId="14" borderId="0" xfId="1" applyFont="1" applyFill="1"/>
    <xf numFmtId="0" fontId="3" fillId="0" borderId="0" xfId="1" applyFont="1" applyAlignment="1">
      <alignment horizontal="right"/>
    </xf>
    <xf numFmtId="0" fontId="6" fillId="0" borderId="1" xfId="0" applyFont="1" applyBorder="1" applyProtection="1">
      <protection hidden="1"/>
    </xf>
    <xf numFmtId="0" fontId="6" fillId="0" borderId="0" xfId="0" applyFont="1" applyProtection="1">
      <protection hidden="1"/>
    </xf>
    <xf numFmtId="0" fontId="6" fillId="0" borderId="0" xfId="0" applyFont="1" applyBorder="1" applyProtection="1">
      <protection hidden="1"/>
    </xf>
    <xf numFmtId="0" fontId="6" fillId="0" borderId="1" xfId="0" applyFont="1" applyBorder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center"/>
      <protection hidden="1"/>
    </xf>
    <xf numFmtId="0" fontId="13" fillId="14" borderId="1" xfId="0" applyFont="1" applyFill="1" applyBorder="1" applyAlignment="1" applyProtection="1">
      <alignment horizontal="left"/>
      <protection locked="0"/>
    </xf>
    <xf numFmtId="0" fontId="6" fillId="0" borderId="1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0" borderId="0" xfId="0" applyFont="1" applyBorder="1" applyProtection="1">
      <protection locked="0"/>
    </xf>
    <xf numFmtId="0" fontId="13" fillId="14" borderId="1" xfId="0" applyFont="1" applyFill="1" applyBorder="1" applyAlignment="1" applyProtection="1">
      <alignment horizontal="center" wrapText="1"/>
      <protection locked="0"/>
    </xf>
    <xf numFmtId="0" fontId="13" fillId="14" borderId="1" xfId="0" applyFont="1" applyFill="1" applyBorder="1" applyAlignment="1" applyProtection="1">
      <alignment horizontal="center"/>
      <protection locked="0"/>
    </xf>
    <xf numFmtId="0" fontId="6" fillId="0" borderId="1" xfId="0" applyFont="1" applyFill="1" applyBorder="1" applyProtection="1">
      <protection locked="0"/>
    </xf>
    <xf numFmtId="0" fontId="6" fillId="0" borderId="1" xfId="0" applyFont="1" applyFill="1" applyBorder="1" applyAlignment="1" applyProtection="1">
      <alignment horizontal="center"/>
      <protection locked="0"/>
    </xf>
    <xf numFmtId="14" fontId="6" fillId="0" borderId="1" xfId="0" applyNumberFormat="1" applyFont="1" applyFill="1" applyBorder="1" applyProtection="1">
      <protection locked="0"/>
    </xf>
    <xf numFmtId="14" fontId="6" fillId="0" borderId="1" xfId="0" applyNumberFormat="1" applyFont="1" applyFill="1" applyBorder="1" applyAlignment="1" applyProtection="1">
      <alignment horizontal="center"/>
      <protection locked="0"/>
    </xf>
    <xf numFmtId="0" fontId="6" fillId="0" borderId="1" xfId="0" applyFont="1" applyFill="1" applyBorder="1" applyAlignment="1" applyProtection="1">
      <alignment wrapText="1"/>
      <protection locked="0"/>
    </xf>
    <xf numFmtId="0" fontId="6" fillId="0" borderId="0" xfId="0" applyFont="1" applyFill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wrapText="1"/>
      <protection hidden="1"/>
    </xf>
    <xf numFmtId="0" fontId="6" fillId="0" borderId="0" xfId="0" applyFont="1" applyAlignment="1" applyProtection="1">
      <alignment wrapText="1"/>
      <protection hidden="1"/>
    </xf>
    <xf numFmtId="0" fontId="6" fillId="0" borderId="0" xfId="0" applyFont="1" applyBorder="1" applyAlignment="1" applyProtection="1">
      <alignment wrapText="1"/>
      <protection hidden="1"/>
    </xf>
    <xf numFmtId="0" fontId="6" fillId="0" borderId="1" xfId="0" applyFont="1" applyBorder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6" fillId="13" borderId="0" xfId="0" applyFont="1" applyFill="1" applyBorder="1" applyAlignment="1" applyProtection="1">
      <alignment wrapText="1"/>
      <protection locked="0"/>
    </xf>
    <xf numFmtId="0" fontId="6" fillId="12" borderId="0" xfId="0" applyFont="1" applyFill="1" applyBorder="1" applyAlignment="1" applyProtection="1">
      <alignment wrapText="1"/>
      <protection locked="0"/>
    </xf>
    <xf numFmtId="0" fontId="6" fillId="11" borderId="0" xfId="0" applyFont="1" applyFill="1" applyBorder="1" applyAlignment="1" applyProtection="1">
      <alignment wrapText="1"/>
      <protection locked="0"/>
    </xf>
    <xf numFmtId="0" fontId="6" fillId="0" borderId="1" xfId="0" applyNumberFormat="1" applyFont="1" applyBorder="1" applyProtection="1">
      <protection hidden="1"/>
    </xf>
    <xf numFmtId="0" fontId="6" fillId="0" borderId="0" xfId="0" applyNumberFormat="1" applyFont="1" applyProtection="1">
      <protection hidden="1"/>
    </xf>
    <xf numFmtId="0" fontId="6" fillId="0" borderId="0" xfId="0" applyNumberFormat="1" applyFont="1" applyBorder="1" applyProtection="1">
      <protection hidden="1"/>
    </xf>
    <xf numFmtId="0" fontId="6" fillId="0" borderId="0" xfId="0" applyFont="1" applyBorder="1" applyAlignment="1" applyProtection="1">
      <alignment wrapText="1"/>
      <protection locked="0"/>
    </xf>
    <xf numFmtId="0" fontId="15" fillId="0" borderId="0" xfId="1" applyFont="1" applyAlignment="1">
      <alignment horizontal="right"/>
    </xf>
    <xf numFmtId="0" fontId="15" fillId="0" borderId="0" xfId="1" applyFont="1"/>
    <xf numFmtId="0" fontId="13" fillId="14" borderId="1" xfId="0" applyNumberFormat="1" applyFont="1" applyFill="1" applyBorder="1" applyAlignment="1" applyProtection="1">
      <alignment horizontal="center"/>
      <protection locked="0"/>
    </xf>
    <xf numFmtId="0" fontId="6" fillId="0" borderId="1" xfId="0" applyFont="1" applyBorder="1"/>
    <xf numFmtId="14" fontId="0" fillId="0" borderId="0" xfId="0" applyNumberFormat="1"/>
    <xf numFmtId="0" fontId="6" fillId="0" borderId="0" xfId="0" applyFont="1" applyAlignment="1" applyProtection="1">
      <alignment horizontal="center" wrapText="1"/>
      <protection hidden="1"/>
    </xf>
    <xf numFmtId="0" fontId="6" fillId="0" borderId="0" xfId="0" applyFont="1" applyBorder="1"/>
    <xf numFmtId="0" fontId="17" fillId="0" borderId="1" xfId="0" applyFont="1" applyFill="1" applyBorder="1" applyAlignment="1" applyProtection="1">
      <alignment wrapText="1"/>
      <protection locked="0"/>
    </xf>
    <xf numFmtId="49" fontId="6" fillId="0" borderId="1" xfId="0" applyNumberFormat="1" applyFont="1" applyFill="1" applyBorder="1" applyAlignment="1">
      <alignment horizontal="left" vertical="top" wrapText="1"/>
    </xf>
    <xf numFmtId="0" fontId="8" fillId="0" borderId="1" xfId="0" applyFont="1" applyFill="1" applyBorder="1" applyAlignment="1" applyProtection="1">
      <alignment horizontal="center"/>
      <protection locked="0"/>
    </xf>
    <xf numFmtId="14" fontId="6" fillId="0" borderId="0" xfId="0" applyNumberFormat="1" applyFont="1" applyAlignment="1" applyProtection="1">
      <alignment horizontal="left"/>
      <protection hidden="1"/>
    </xf>
    <xf numFmtId="0" fontId="6" fillId="15" borderId="0" xfId="0" applyFont="1" applyFill="1" applyBorder="1" applyAlignment="1" applyProtection="1">
      <alignment horizontal="center" wrapText="1"/>
      <protection locked="0"/>
    </xf>
    <xf numFmtId="14" fontId="6" fillId="15" borderId="1" xfId="0" applyNumberFormat="1" applyFont="1" applyFill="1" applyBorder="1" applyAlignment="1" applyProtection="1">
      <alignment horizontal="center"/>
      <protection locked="0"/>
    </xf>
    <xf numFmtId="14" fontId="6" fillId="15" borderId="1" xfId="0" applyNumberFormat="1" applyFont="1" applyFill="1" applyBorder="1" applyAlignment="1" applyProtection="1">
      <alignment horizontal="center" wrapText="1"/>
      <protection locked="0"/>
    </xf>
    <xf numFmtId="0" fontId="19" fillId="0" borderId="1" xfId="0" applyFont="1" applyFill="1" applyBorder="1" applyAlignment="1" applyProtection="1">
      <alignment horizontal="center" wrapText="1"/>
      <protection locked="0"/>
    </xf>
    <xf numFmtId="0" fontId="20" fillId="0" borderId="1" xfId="0" applyFont="1" applyBorder="1" applyAlignment="1">
      <alignment vertical="top" wrapText="1"/>
    </xf>
    <xf numFmtId="0" fontId="6" fillId="0" borderId="1" xfId="0" applyFont="1" applyBorder="1" applyAlignment="1">
      <alignment horizontal="center" vertical="top" wrapText="1"/>
    </xf>
    <xf numFmtId="49" fontId="6" fillId="0" borderId="10" xfId="0" applyNumberFormat="1" applyFont="1" applyFill="1" applyBorder="1" applyAlignment="1">
      <alignment horizontal="left" vertical="top" wrapText="1"/>
    </xf>
    <xf numFmtId="0" fontId="6" fillId="0" borderId="10" xfId="0" applyFont="1" applyFill="1" applyBorder="1" applyAlignment="1">
      <alignment vertical="top" wrapText="1"/>
    </xf>
    <xf numFmtId="49" fontId="6" fillId="0" borderId="11" xfId="0" applyNumberFormat="1" applyFont="1" applyBorder="1" applyAlignment="1">
      <alignment vertical="top" wrapText="1"/>
    </xf>
    <xf numFmtId="0" fontId="6" fillId="0" borderId="11" xfId="0" applyFont="1" applyFill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164" fontId="6" fillId="0" borderId="1" xfId="0" applyNumberFormat="1" applyFont="1" applyBorder="1" applyAlignment="1" applyProtection="1">
      <alignment wrapText="1"/>
      <protection hidden="1"/>
    </xf>
    <xf numFmtId="164" fontId="6" fillId="0" borderId="1" xfId="0" applyNumberFormat="1" applyFont="1" applyBorder="1" applyProtection="1">
      <protection hidden="1"/>
    </xf>
    <xf numFmtId="164" fontId="13" fillId="14" borderId="1" xfId="0" applyNumberFormat="1" applyFont="1" applyFill="1" applyBorder="1" applyAlignment="1" applyProtection="1">
      <alignment horizontal="left"/>
      <protection locked="0"/>
    </xf>
    <xf numFmtId="164" fontId="6" fillId="0" borderId="0" xfId="0" applyNumberFormat="1" applyFont="1" applyProtection="1">
      <protection hidden="1"/>
    </xf>
    <xf numFmtId="164" fontId="6" fillId="0" borderId="0" xfId="0" applyNumberFormat="1" applyFont="1" applyBorder="1" applyProtection="1">
      <protection hidden="1"/>
    </xf>
    <xf numFmtId="0" fontId="6" fillId="0" borderId="1" xfId="0" applyFont="1" applyFill="1" applyBorder="1"/>
    <xf numFmtId="14" fontId="6" fillId="0" borderId="1" xfId="0" applyNumberFormat="1" applyFont="1" applyFill="1" applyBorder="1"/>
    <xf numFmtId="14" fontId="6" fillId="0" borderId="1" xfId="0" applyNumberFormat="1" applyFont="1" applyFill="1" applyBorder="1" applyAlignment="1">
      <alignment wrapText="1"/>
    </xf>
    <xf numFmtId="0" fontId="6" fillId="0" borderId="1" xfId="0" applyFont="1" applyFill="1" applyBorder="1" applyAlignment="1">
      <alignment wrapText="1"/>
    </xf>
    <xf numFmtId="0" fontId="13" fillId="14" borderId="1" xfId="0" applyFont="1" applyFill="1" applyBorder="1" applyAlignment="1" applyProtection="1">
      <alignment wrapText="1"/>
    </xf>
    <xf numFmtId="0" fontId="6" fillId="0" borderId="0" xfId="0" applyFont="1" applyProtection="1"/>
    <xf numFmtId="0" fontId="13" fillId="14" borderId="1" xfId="0" applyFont="1" applyFill="1" applyBorder="1" applyAlignment="1" applyProtection="1">
      <alignment horizontal="center"/>
    </xf>
    <xf numFmtId="0" fontId="6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14" fontId="13" fillId="14" borderId="1" xfId="0" applyNumberFormat="1" applyFont="1" applyFill="1" applyBorder="1" applyAlignment="1" applyProtection="1">
      <alignment horizontal="center" wrapText="1"/>
    </xf>
    <xf numFmtId="14" fontId="6" fillId="0" borderId="1" xfId="0" applyNumberFormat="1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0" fontId="6" fillId="0" borderId="1" xfId="0" applyFont="1" applyBorder="1" applyAlignment="1">
      <alignment wrapText="1"/>
    </xf>
    <xf numFmtId="0" fontId="13" fillId="14" borderId="1" xfId="0" applyFont="1" applyFill="1" applyBorder="1" applyAlignment="1" applyProtection="1">
      <alignment horizontal="center" wrapText="1"/>
    </xf>
    <xf numFmtId="0" fontId="6" fillId="0" borderId="1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21" fillId="14" borderId="1" xfId="0" applyFont="1" applyFill="1" applyBorder="1" applyAlignment="1" applyProtection="1">
      <alignment horizontal="center" wrapText="1"/>
      <protection locked="0"/>
    </xf>
    <xf numFmtId="16" fontId="21" fillId="14" borderId="1" xfId="0" applyNumberFormat="1" applyFont="1" applyFill="1" applyBorder="1" applyAlignment="1" applyProtection="1">
      <alignment horizontal="center" wrapText="1"/>
      <protection locked="0"/>
    </xf>
    <xf numFmtId="0" fontId="21" fillId="14" borderId="1" xfId="0" applyFont="1" applyFill="1" applyBorder="1" applyAlignment="1" applyProtection="1">
      <alignment horizontal="center"/>
      <protection locked="0"/>
    </xf>
    <xf numFmtId="0" fontId="21" fillId="14" borderId="1" xfId="0" applyFont="1" applyFill="1" applyBorder="1" applyProtection="1"/>
    <xf numFmtId="0" fontId="21" fillId="14" borderId="1" xfId="0" applyFont="1" applyFill="1" applyBorder="1" applyAlignment="1" applyProtection="1">
      <alignment wrapText="1"/>
    </xf>
    <xf numFmtId="0" fontId="6" fillId="0" borderId="11" xfId="0" applyFont="1" applyBorder="1" applyAlignment="1">
      <alignment horizontal="center" vertical="top" wrapText="1"/>
    </xf>
    <xf numFmtId="0" fontId="16" fillId="0" borderId="1" xfId="0" applyFont="1" applyBorder="1"/>
    <xf numFmtId="0" fontId="6" fillId="0" borderId="0" xfId="0" applyFont="1" applyFill="1" applyBorder="1"/>
    <xf numFmtId="0" fontId="13" fillId="14" borderId="1" xfId="0" applyFont="1" applyFill="1" applyBorder="1" applyAlignment="1" applyProtection="1">
      <alignment horizontal="left" wrapText="1"/>
      <protection locked="0"/>
    </xf>
    <xf numFmtId="0" fontId="5" fillId="0" borderId="1" xfId="0" applyFont="1" applyFill="1" applyBorder="1" applyAlignment="1">
      <alignment wrapText="1"/>
    </xf>
    <xf numFmtId="14" fontId="6" fillId="0" borderId="1" xfId="0" applyNumberFormat="1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wrapText="1"/>
    </xf>
    <xf numFmtId="0" fontId="6" fillId="16" borderId="1" xfId="0" applyFont="1" applyFill="1" applyBorder="1"/>
    <xf numFmtId="14" fontId="6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wrapText="1"/>
    </xf>
    <xf numFmtId="0" fontId="6" fillId="0" borderId="0" xfId="0" applyFont="1" applyBorder="1" applyAlignment="1">
      <alignment horizontal="center" wrapText="1"/>
    </xf>
    <xf numFmtId="0" fontId="6" fillId="0" borderId="0" xfId="0" applyFont="1" applyFill="1" applyBorder="1" applyAlignment="1">
      <alignment wrapText="1"/>
    </xf>
    <xf numFmtId="0" fontId="21" fillId="14" borderId="1" xfId="0" applyFont="1" applyFill="1" applyBorder="1" applyAlignment="1" applyProtection="1">
      <alignment horizontal="center" wrapText="1"/>
    </xf>
    <xf numFmtId="0" fontId="6" fillId="0" borderId="0" xfId="0" applyFont="1" applyFill="1" applyBorder="1" applyAlignment="1">
      <alignment horizontal="center"/>
    </xf>
    <xf numFmtId="0" fontId="6" fillId="15" borderId="1" xfId="0" applyFont="1" applyFill="1" applyBorder="1"/>
    <xf numFmtId="14" fontId="6" fillId="15" borderId="1" xfId="0" applyNumberFormat="1" applyFont="1" applyFill="1" applyBorder="1" applyAlignment="1">
      <alignment wrapText="1"/>
    </xf>
    <xf numFmtId="0" fontId="22" fillId="15" borderId="1" xfId="0" applyFont="1" applyFill="1" applyBorder="1" applyAlignment="1">
      <alignment horizontal="center" wrapText="1"/>
    </xf>
    <xf numFmtId="0" fontId="6" fillId="5" borderId="11" xfId="0" applyFont="1" applyFill="1" applyBorder="1" applyAlignment="1">
      <alignment horizontal="left" vertical="top" wrapText="1"/>
    </xf>
    <xf numFmtId="0" fontId="11" fillId="10" borderId="2" xfId="0" applyFont="1" applyFill="1" applyBorder="1" applyAlignment="1">
      <alignment horizontal="center" wrapText="1"/>
    </xf>
    <xf numFmtId="0" fontId="11" fillId="10" borderId="3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11" fillId="10" borderId="5" xfId="0" applyFont="1" applyFill="1" applyBorder="1" applyAlignment="1">
      <alignment horizontal="center"/>
    </xf>
    <xf numFmtId="0" fontId="11" fillId="10" borderId="0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7" xfId="0" applyFont="1" applyFill="1" applyBorder="1" applyAlignment="1">
      <alignment horizontal="center"/>
    </xf>
    <xf numFmtId="0" fontId="11" fillId="10" borderId="8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11" fillId="10" borderId="2" xfId="0" applyFont="1" applyFill="1" applyBorder="1" applyAlignment="1">
      <alignment horizontal="left" vertical="top" wrapText="1"/>
    </xf>
    <xf numFmtId="0" fontId="11" fillId="10" borderId="3" xfId="0" applyFont="1" applyFill="1" applyBorder="1" applyAlignment="1">
      <alignment horizontal="left" vertical="top" wrapText="1"/>
    </xf>
    <xf numFmtId="0" fontId="11" fillId="10" borderId="4" xfId="0" applyFont="1" applyFill="1" applyBorder="1" applyAlignment="1">
      <alignment horizontal="left" vertical="top" wrapText="1"/>
    </xf>
    <xf numFmtId="0" fontId="11" fillId="10" borderId="5" xfId="0" applyFont="1" applyFill="1" applyBorder="1" applyAlignment="1">
      <alignment horizontal="left" vertical="top" wrapText="1"/>
    </xf>
    <xf numFmtId="0" fontId="11" fillId="10" borderId="0" xfId="0" applyFont="1" applyFill="1" applyBorder="1" applyAlignment="1">
      <alignment horizontal="left" vertical="top" wrapText="1"/>
    </xf>
    <xf numFmtId="0" fontId="11" fillId="10" borderId="6" xfId="0" applyFont="1" applyFill="1" applyBorder="1" applyAlignment="1">
      <alignment horizontal="left" vertical="top" wrapText="1"/>
    </xf>
    <xf numFmtId="0" fontId="11" fillId="10" borderId="7" xfId="0" applyFont="1" applyFill="1" applyBorder="1" applyAlignment="1">
      <alignment horizontal="left" vertical="top" wrapText="1"/>
    </xf>
    <xf numFmtId="0" fontId="11" fillId="10" borderId="8" xfId="0" applyFont="1" applyFill="1" applyBorder="1" applyAlignment="1">
      <alignment horizontal="left" vertical="top" wrapText="1"/>
    </xf>
    <xf numFmtId="0" fontId="11" fillId="10" borderId="9" xfId="0" applyFont="1" applyFill="1" applyBorder="1" applyAlignment="1">
      <alignment horizontal="left" vertical="top" wrapText="1"/>
    </xf>
    <xf numFmtId="0" fontId="3" fillId="0" borderId="0" xfId="0" applyFont="1"/>
  </cellXfs>
  <cellStyles count="11">
    <cellStyle name="Decom" xfId="8" xr:uid="{00000000-0005-0000-0000-000000000000}"/>
    <cellStyle name="No DR Req" xfId="10" xr:uid="{00000000-0005-0000-0000-000001000000}"/>
    <cellStyle name="No Test Req" xfId="7" xr:uid="{00000000-0005-0000-0000-000002000000}"/>
    <cellStyle name="Normal" xfId="0" builtinId="0"/>
    <cellStyle name="Normal 12" xfId="5" xr:uid="{00000000-0005-0000-0000-000004000000}"/>
    <cellStyle name="Normal 2" xfId="1" xr:uid="{00000000-0005-0000-0000-000005000000}"/>
    <cellStyle name="Normal 2 2" xfId="3" xr:uid="{00000000-0005-0000-0000-000006000000}"/>
    <cellStyle name="Normal 3" xfId="4" xr:uid="{00000000-0005-0000-0000-000007000000}"/>
    <cellStyle name="Normal 4" xfId="2" xr:uid="{00000000-0005-0000-0000-000008000000}"/>
    <cellStyle name="Normal 5" xfId="6" xr:uid="{00000000-0005-0000-0000-000009000000}"/>
    <cellStyle name="Risk" xfId="9" xr:uid="{00000000-0005-0000-0000-00000A000000}"/>
  </cellStyles>
  <dxfs count="57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indexed="64"/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indexed="64"/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indexed="64"/>
          <bgColor theme="5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indexed="64"/>
          <bgColor theme="5" tint="0.59996337778862885"/>
        </patternFill>
      </fill>
    </dxf>
    <dxf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ill>
        <patternFill patternType="lightDown">
          <fgColor theme="0" tint="-0.499984740745262"/>
          <bgColor theme="0" tint="-4.9989318521683403E-2"/>
        </patternFill>
      </fill>
    </dxf>
    <dxf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39994506668294322"/>
        </patternFill>
      </fill>
    </dxf>
    <dxf>
      <fill>
        <patternFill patternType="solid">
          <fgColor indexed="64"/>
          <bgColor theme="5" tint="0.59996337778862885"/>
        </patternFill>
      </fill>
    </dxf>
    <dxf>
      <fill>
        <patternFill patternType="lightDown">
          <fgColor theme="0" tint="-0.499984740745262"/>
          <bgColor theme="0" tint="-4.9989318521683403E-2"/>
        </patternFill>
      </fill>
    </dxf>
    <dxf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FF99CC"/>
      <color rgb="FFFF0000"/>
      <color rgb="FFFFCC99"/>
      <color rgb="FF6FF22E"/>
      <color rgb="FF0000CC"/>
      <color rgb="FFCCFFCC"/>
      <color rgb="FFF2DCDB"/>
      <color rgb="FFE6B9B8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</xdr:row>
      <xdr:rowOff>0</xdr:rowOff>
    </xdr:from>
    <xdr:to>
      <xdr:col>13</xdr:col>
      <xdr:colOff>200025</xdr:colOff>
      <xdr:row>48</xdr:row>
      <xdr:rowOff>38100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19200" y="323850"/>
          <a:ext cx="6905625" cy="66770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48</xdr:row>
      <xdr:rowOff>4414</xdr:rowOff>
    </xdr:from>
    <xdr:to>
      <xdr:col>18</xdr:col>
      <xdr:colOff>19322</xdr:colOff>
      <xdr:row>93</xdr:row>
      <xdr:rowOff>7619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212934"/>
          <a:ext cx="10382522" cy="7547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257175</xdr:colOff>
      <xdr:row>3</xdr:row>
      <xdr:rowOff>28575</xdr:rowOff>
    </xdr:from>
    <xdr:to>
      <xdr:col>16</xdr:col>
      <xdr:colOff>114300</xdr:colOff>
      <xdr:row>8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705725" y="514350"/>
          <a:ext cx="5953125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Please note that the statistics provided on this sheet are</a:t>
          </a:r>
          <a:r>
            <a:rPr lang="en-US" sz="1100" baseline="0"/>
            <a:t> for references purposes only. This document is updated on a weekly basis and this information may not be 100% current. Please reference BCitC for the most up to date statistics. </a:t>
          </a:r>
        </a:p>
        <a:p>
          <a:endParaRPr lang="en-US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F50"/>
  <sheetViews>
    <sheetView zoomScale="92" zoomScaleNormal="92" zoomScalePageLayoutView="80" workbookViewId="0">
      <selection activeCell="A39" sqref="A39"/>
    </sheetView>
  </sheetViews>
  <sheetFormatPr defaultColWidth="9.453125" defaultRowHeight="13" x14ac:dyDescent="0.3"/>
  <cols>
    <col min="1" max="1" width="45.54296875" style="11" customWidth="1"/>
    <col min="2" max="2" width="38.54296875" style="12" customWidth="1"/>
    <col min="3" max="3" width="11" style="13" customWidth="1"/>
    <col min="4" max="4" width="24" style="12" customWidth="1"/>
    <col min="5" max="5" width="23" style="12" customWidth="1"/>
    <col min="6" max="6" width="20.453125" style="12" customWidth="1"/>
    <col min="7" max="16384" width="9.453125" style="4"/>
  </cols>
  <sheetData>
    <row r="1" spans="1:6" s="17" customFormat="1" ht="39" x14ac:dyDescent="0.25">
      <c r="A1" s="15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</row>
    <row r="2" spans="1:6" ht="6.65" customHeight="1" x14ac:dyDescent="0.3">
      <c r="A2" s="1"/>
      <c r="B2" s="2"/>
      <c r="C2" s="3"/>
      <c r="D2" s="2"/>
      <c r="E2" s="2"/>
      <c r="F2" s="2"/>
    </row>
    <row r="3" spans="1:6" s="9" customFormat="1" ht="32.9" customHeight="1" x14ac:dyDescent="0.3">
      <c r="A3" s="68" t="s">
        <v>6</v>
      </c>
      <c r="B3" s="14" t="s">
        <v>7</v>
      </c>
      <c r="C3" s="7" t="s">
        <v>8</v>
      </c>
      <c r="D3" s="6" t="s">
        <v>9</v>
      </c>
      <c r="E3" s="8" t="s">
        <v>10</v>
      </c>
      <c r="F3" s="6" t="s">
        <v>11</v>
      </c>
    </row>
    <row r="4" spans="1:6" s="9" customFormat="1" ht="32.9" customHeight="1" x14ac:dyDescent="0.3">
      <c r="A4" s="68" t="s">
        <v>12</v>
      </c>
      <c r="B4" s="14" t="s">
        <v>13</v>
      </c>
      <c r="C4" s="7"/>
      <c r="D4" s="6"/>
      <c r="E4" s="8"/>
      <c r="F4" s="14" t="s">
        <v>14</v>
      </c>
    </row>
    <row r="5" spans="1:6" s="9" customFormat="1" ht="32.9" customHeight="1" x14ac:dyDescent="0.3">
      <c r="A5" s="68" t="s">
        <v>15</v>
      </c>
      <c r="B5" s="14" t="s">
        <v>16</v>
      </c>
      <c r="C5" s="7"/>
      <c r="D5" s="6"/>
      <c r="E5" s="8"/>
      <c r="F5" s="14" t="s">
        <v>14</v>
      </c>
    </row>
    <row r="6" spans="1:6" s="9" customFormat="1" ht="32.9" customHeight="1" x14ac:dyDescent="0.3">
      <c r="A6" s="68" t="s">
        <v>17</v>
      </c>
      <c r="B6" s="14" t="s">
        <v>18</v>
      </c>
      <c r="C6" s="7"/>
      <c r="D6" s="6"/>
      <c r="E6" s="8"/>
      <c r="F6" s="14" t="s">
        <v>14</v>
      </c>
    </row>
    <row r="7" spans="1:6" s="9" customFormat="1" ht="27.65" customHeight="1" x14ac:dyDescent="0.3">
      <c r="A7" s="5" t="s">
        <v>19</v>
      </c>
      <c r="B7" s="10" t="s">
        <v>20</v>
      </c>
      <c r="C7" s="7" t="s">
        <v>21</v>
      </c>
      <c r="D7" s="6" t="s">
        <v>22</v>
      </c>
      <c r="E7" s="8" t="s">
        <v>23</v>
      </c>
      <c r="F7" s="14" t="s">
        <v>14</v>
      </c>
    </row>
    <row r="8" spans="1:6" s="9" customFormat="1" ht="27.65" customHeight="1" x14ac:dyDescent="0.3">
      <c r="A8" s="5" t="s">
        <v>24</v>
      </c>
      <c r="B8" s="10" t="s">
        <v>25</v>
      </c>
      <c r="C8" s="7"/>
      <c r="D8" s="6"/>
      <c r="E8" s="8"/>
      <c r="F8" s="14" t="s">
        <v>14</v>
      </c>
    </row>
    <row r="9" spans="1:6" s="9" customFormat="1" ht="27.65" customHeight="1" x14ac:dyDescent="0.3">
      <c r="A9" s="5" t="s">
        <v>26</v>
      </c>
      <c r="B9" s="10" t="s">
        <v>27</v>
      </c>
      <c r="C9" s="7"/>
      <c r="D9" s="6"/>
      <c r="E9" s="8"/>
      <c r="F9" s="14" t="s">
        <v>14</v>
      </c>
    </row>
    <row r="10" spans="1:6" s="9" customFormat="1" ht="27.65" customHeight="1" x14ac:dyDescent="0.3">
      <c r="A10" s="5" t="s">
        <v>28</v>
      </c>
      <c r="B10" s="10" t="s">
        <v>20</v>
      </c>
      <c r="C10" s="7" t="s">
        <v>8</v>
      </c>
      <c r="D10" s="6" t="s">
        <v>29</v>
      </c>
      <c r="E10" s="75" t="s">
        <v>30</v>
      </c>
      <c r="F10" s="14" t="s">
        <v>14</v>
      </c>
    </row>
    <row r="11" spans="1:6" s="9" customFormat="1" ht="27.65" customHeight="1" x14ac:dyDescent="0.3">
      <c r="A11" s="5" t="s">
        <v>31</v>
      </c>
      <c r="B11" s="14" t="s">
        <v>32</v>
      </c>
      <c r="C11" s="7"/>
      <c r="D11" s="6"/>
      <c r="E11" s="75"/>
      <c r="F11" s="14" t="s">
        <v>14</v>
      </c>
    </row>
    <row r="12" spans="1:6" s="9" customFormat="1" ht="27.65" customHeight="1" x14ac:dyDescent="0.3">
      <c r="A12" s="5" t="s">
        <v>33</v>
      </c>
      <c r="B12" s="14" t="s">
        <v>34</v>
      </c>
      <c r="C12" s="7"/>
      <c r="D12" s="6"/>
      <c r="E12" s="75"/>
      <c r="F12" s="14" t="s">
        <v>14</v>
      </c>
    </row>
    <row r="13" spans="1:6" s="9" customFormat="1" ht="27.65" customHeight="1" x14ac:dyDescent="0.3">
      <c r="A13" s="5" t="s">
        <v>35</v>
      </c>
      <c r="B13" s="14" t="s">
        <v>36</v>
      </c>
      <c r="C13" s="7"/>
      <c r="D13" s="6"/>
      <c r="E13" s="75"/>
      <c r="F13" s="14" t="s">
        <v>14</v>
      </c>
    </row>
    <row r="14" spans="1:6" s="9" customFormat="1" ht="27.65" customHeight="1" x14ac:dyDescent="0.3">
      <c r="A14" s="5" t="s">
        <v>37</v>
      </c>
      <c r="B14" s="14" t="s">
        <v>38</v>
      </c>
      <c r="C14" s="7"/>
      <c r="D14" s="6"/>
      <c r="E14" s="75"/>
      <c r="F14" s="14" t="s">
        <v>14</v>
      </c>
    </row>
    <row r="15" spans="1:6" s="9" customFormat="1" ht="44.15" customHeight="1" x14ac:dyDescent="0.3">
      <c r="A15" s="5" t="s">
        <v>39</v>
      </c>
      <c r="B15" s="10" t="s">
        <v>40</v>
      </c>
      <c r="C15" s="7"/>
      <c r="D15" s="6"/>
      <c r="E15" s="75"/>
      <c r="F15" s="14" t="s">
        <v>14</v>
      </c>
    </row>
    <row r="16" spans="1:6" s="9" customFormat="1" ht="27.65" customHeight="1" x14ac:dyDescent="0.3">
      <c r="A16" s="68" t="s">
        <v>41</v>
      </c>
      <c r="B16" s="14" t="s">
        <v>7</v>
      </c>
      <c r="C16" s="7" t="s">
        <v>21</v>
      </c>
      <c r="D16" s="6" t="s">
        <v>42</v>
      </c>
      <c r="E16" s="8" t="s">
        <v>10</v>
      </c>
      <c r="F16" s="6" t="s">
        <v>11</v>
      </c>
    </row>
    <row r="17" spans="1:6" s="9" customFormat="1" ht="27.65" customHeight="1" x14ac:dyDescent="0.3">
      <c r="A17" s="68" t="s">
        <v>43</v>
      </c>
      <c r="B17" s="10" t="s">
        <v>44</v>
      </c>
      <c r="C17" s="7"/>
      <c r="D17" s="6"/>
      <c r="E17" s="8"/>
      <c r="F17" s="14" t="s">
        <v>14</v>
      </c>
    </row>
    <row r="18" spans="1:6" s="9" customFormat="1" ht="27.65" customHeight="1" x14ac:dyDescent="0.3">
      <c r="A18" s="68" t="s">
        <v>45</v>
      </c>
      <c r="B18" s="10" t="s">
        <v>46</v>
      </c>
      <c r="C18" s="7"/>
      <c r="D18" s="6"/>
      <c r="E18" s="8"/>
      <c r="F18" s="14" t="s">
        <v>14</v>
      </c>
    </row>
    <row r="19" spans="1:6" s="9" customFormat="1" ht="44.15" customHeight="1" x14ac:dyDescent="0.3">
      <c r="A19" s="5" t="s">
        <v>47</v>
      </c>
      <c r="B19" s="10" t="s">
        <v>48</v>
      </c>
      <c r="C19" s="7"/>
      <c r="D19" s="6"/>
      <c r="E19" s="75"/>
      <c r="F19" s="14" t="s">
        <v>14</v>
      </c>
    </row>
    <row r="20" spans="1:6" s="9" customFormat="1" ht="27.65" customHeight="1" x14ac:dyDescent="0.3">
      <c r="A20" s="18" t="s">
        <v>49</v>
      </c>
      <c r="B20" s="82" t="s">
        <v>50</v>
      </c>
      <c r="C20" s="76"/>
      <c r="D20" s="8"/>
      <c r="E20" s="8"/>
      <c r="F20" s="14" t="s">
        <v>14</v>
      </c>
    </row>
    <row r="21" spans="1:6" s="9" customFormat="1" ht="27.65" customHeight="1" x14ac:dyDescent="0.3">
      <c r="A21" s="18" t="s">
        <v>51</v>
      </c>
      <c r="B21" s="82" t="s">
        <v>52</v>
      </c>
      <c r="C21" s="76"/>
      <c r="D21" s="8"/>
      <c r="E21" s="8"/>
      <c r="F21" s="14" t="s">
        <v>14</v>
      </c>
    </row>
    <row r="22" spans="1:6" s="9" customFormat="1" ht="27.65" customHeight="1" x14ac:dyDescent="0.3">
      <c r="A22" s="18" t="s">
        <v>53</v>
      </c>
      <c r="B22" s="82" t="s">
        <v>54</v>
      </c>
      <c r="C22" s="76"/>
      <c r="D22" s="8"/>
      <c r="E22" s="8"/>
      <c r="F22" s="14" t="s">
        <v>14</v>
      </c>
    </row>
    <row r="23" spans="1:6" s="9" customFormat="1" ht="27.65" customHeight="1" x14ac:dyDescent="0.3">
      <c r="A23" s="18" t="s">
        <v>55</v>
      </c>
      <c r="B23" s="82" t="s">
        <v>56</v>
      </c>
      <c r="C23" s="76"/>
      <c r="D23" s="8"/>
      <c r="E23" s="8"/>
      <c r="F23" s="14" t="s">
        <v>14</v>
      </c>
    </row>
    <row r="24" spans="1:6" s="9" customFormat="1" ht="27.65" customHeight="1" x14ac:dyDescent="0.3">
      <c r="A24" s="18" t="s">
        <v>57</v>
      </c>
      <c r="B24" s="82" t="s">
        <v>58</v>
      </c>
      <c r="C24" s="76"/>
      <c r="D24" s="8"/>
      <c r="E24" s="8"/>
      <c r="F24" s="14" t="s">
        <v>14</v>
      </c>
    </row>
    <row r="25" spans="1:6" s="9" customFormat="1" ht="27.65" customHeight="1" x14ac:dyDescent="0.3">
      <c r="A25" s="18" t="s">
        <v>59</v>
      </c>
      <c r="B25" s="82" t="s">
        <v>60</v>
      </c>
      <c r="C25" s="76"/>
      <c r="D25" s="8"/>
      <c r="E25" s="8"/>
      <c r="F25" s="14" t="s">
        <v>14</v>
      </c>
    </row>
    <row r="26" spans="1:6" s="9" customFormat="1" ht="27.65" customHeight="1" x14ac:dyDescent="0.3">
      <c r="A26" s="18" t="s">
        <v>61</v>
      </c>
      <c r="B26" s="82" t="s">
        <v>62</v>
      </c>
      <c r="C26" s="76"/>
      <c r="D26" s="8"/>
      <c r="E26" s="8"/>
      <c r="F26" s="14" t="s">
        <v>14</v>
      </c>
    </row>
    <row r="27" spans="1:6" s="9" customFormat="1" ht="27.65" customHeight="1" x14ac:dyDescent="0.3">
      <c r="A27" s="18" t="s">
        <v>63</v>
      </c>
      <c r="B27" s="82" t="s">
        <v>64</v>
      </c>
      <c r="C27" s="109"/>
      <c r="D27" s="81"/>
      <c r="E27" s="81"/>
      <c r="F27" s="14" t="s">
        <v>14</v>
      </c>
    </row>
    <row r="28" spans="1:6" s="9" customFormat="1" ht="27.65" customHeight="1" x14ac:dyDescent="0.3">
      <c r="A28" s="18" t="s">
        <v>65</v>
      </c>
      <c r="B28" s="82" t="s">
        <v>66</v>
      </c>
      <c r="C28" s="76"/>
      <c r="D28" s="8"/>
      <c r="E28" s="8"/>
      <c r="F28" s="14" t="s">
        <v>14</v>
      </c>
    </row>
    <row r="29" spans="1:6" s="9" customFormat="1" ht="27.65" customHeight="1" x14ac:dyDescent="0.3">
      <c r="A29" s="18" t="s">
        <v>67</v>
      </c>
      <c r="B29" s="82" t="s">
        <v>68</v>
      </c>
      <c r="C29" s="109"/>
      <c r="D29" s="81"/>
      <c r="E29" s="81"/>
      <c r="F29" s="14" t="s">
        <v>14</v>
      </c>
    </row>
    <row r="30" spans="1:6" s="9" customFormat="1" ht="27.65" customHeight="1" x14ac:dyDescent="0.3">
      <c r="A30" s="18" t="s">
        <v>67</v>
      </c>
      <c r="B30" s="82" t="s">
        <v>69</v>
      </c>
      <c r="C30" s="109"/>
      <c r="D30" s="81"/>
      <c r="E30" s="81"/>
      <c r="F30" s="14" t="s">
        <v>14</v>
      </c>
    </row>
    <row r="31" spans="1:6" s="9" customFormat="1" ht="27.65" customHeight="1" x14ac:dyDescent="0.3">
      <c r="A31" s="68" t="s">
        <v>70</v>
      </c>
      <c r="B31" s="10" t="s">
        <v>20</v>
      </c>
      <c r="C31" s="7" t="s">
        <v>21</v>
      </c>
      <c r="D31" s="6" t="s">
        <v>22</v>
      </c>
      <c r="E31" s="8" t="s">
        <v>71</v>
      </c>
      <c r="F31" s="14" t="s">
        <v>14</v>
      </c>
    </row>
    <row r="32" spans="1:6" s="9" customFormat="1" ht="27.65" customHeight="1" x14ac:dyDescent="0.3">
      <c r="A32" s="77" t="s">
        <v>72</v>
      </c>
      <c r="B32" s="82" t="s">
        <v>73</v>
      </c>
      <c r="C32" s="7"/>
      <c r="D32" s="6"/>
      <c r="E32" s="8"/>
      <c r="F32" s="14" t="s">
        <v>14</v>
      </c>
    </row>
    <row r="33" spans="1:6" s="9" customFormat="1" ht="27.65" customHeight="1" x14ac:dyDescent="0.3">
      <c r="A33" s="77" t="s">
        <v>74</v>
      </c>
      <c r="B33" s="82" t="s">
        <v>75</v>
      </c>
      <c r="C33" s="7"/>
      <c r="D33" s="6"/>
      <c r="E33" s="8"/>
      <c r="F33" s="14" t="s">
        <v>14</v>
      </c>
    </row>
    <row r="34" spans="1:6" s="9" customFormat="1" ht="27.65" customHeight="1" x14ac:dyDescent="0.3">
      <c r="A34" s="77" t="s">
        <v>76</v>
      </c>
      <c r="B34" s="82" t="s">
        <v>77</v>
      </c>
      <c r="C34" s="7"/>
      <c r="D34" s="6"/>
      <c r="E34" s="8"/>
      <c r="F34" s="14" t="s">
        <v>14</v>
      </c>
    </row>
    <row r="35" spans="1:6" s="9" customFormat="1" ht="27.65" customHeight="1" x14ac:dyDescent="0.3">
      <c r="A35" s="77" t="s">
        <v>78</v>
      </c>
      <c r="B35" s="82" t="s">
        <v>79</v>
      </c>
      <c r="C35" s="7"/>
      <c r="D35" s="6"/>
      <c r="E35" s="8"/>
      <c r="F35" s="14" t="s">
        <v>14</v>
      </c>
    </row>
    <row r="36" spans="1:6" s="9" customFormat="1" ht="27.65" customHeight="1" x14ac:dyDescent="0.3">
      <c r="A36" s="77" t="s">
        <v>80</v>
      </c>
      <c r="B36" s="14" t="s">
        <v>7</v>
      </c>
      <c r="C36" s="7" t="s">
        <v>21</v>
      </c>
      <c r="D36" s="6" t="s">
        <v>42</v>
      </c>
      <c r="E36" s="8" t="s">
        <v>10</v>
      </c>
      <c r="F36" s="78" t="s">
        <v>11</v>
      </c>
    </row>
    <row r="37" spans="1:6" s="9" customFormat="1" ht="27.65" customHeight="1" x14ac:dyDescent="0.3">
      <c r="A37" s="18" t="s">
        <v>81</v>
      </c>
      <c r="B37" s="82" t="s">
        <v>82</v>
      </c>
      <c r="C37" s="76"/>
      <c r="D37" s="8"/>
      <c r="E37" s="8"/>
      <c r="F37" s="8" t="s">
        <v>11</v>
      </c>
    </row>
    <row r="38" spans="1:6" s="9" customFormat="1" ht="27.65" customHeight="1" x14ac:dyDescent="0.3">
      <c r="A38" s="18" t="s">
        <v>83</v>
      </c>
      <c r="B38" s="82" t="s">
        <v>84</v>
      </c>
      <c r="C38" s="109"/>
      <c r="D38" s="81"/>
      <c r="E38" s="81"/>
      <c r="F38" s="8" t="s">
        <v>14</v>
      </c>
    </row>
    <row r="39" spans="1:6" s="9" customFormat="1" ht="27.65" customHeight="1" x14ac:dyDescent="0.3">
      <c r="A39" s="18" t="s">
        <v>85</v>
      </c>
      <c r="B39" s="82" t="s">
        <v>86</v>
      </c>
      <c r="C39" s="109"/>
      <c r="D39" s="81"/>
      <c r="E39" s="81"/>
      <c r="F39" s="8" t="s">
        <v>11</v>
      </c>
    </row>
    <row r="40" spans="1:6" s="9" customFormat="1" ht="27.65" customHeight="1" x14ac:dyDescent="0.3">
      <c r="A40" s="18" t="s">
        <v>87</v>
      </c>
      <c r="B40" s="82" t="s">
        <v>88</v>
      </c>
      <c r="C40" s="109"/>
      <c r="D40" s="81"/>
      <c r="E40" s="81"/>
      <c r="F40" s="8" t="s">
        <v>11</v>
      </c>
    </row>
    <row r="41" spans="1:6" s="9" customFormat="1" ht="27.65" customHeight="1" x14ac:dyDescent="0.3">
      <c r="A41" s="18" t="s">
        <v>89</v>
      </c>
      <c r="B41" s="82" t="s">
        <v>90</v>
      </c>
      <c r="C41" s="109"/>
      <c r="D41" s="81"/>
      <c r="E41" s="81"/>
      <c r="F41" s="81" t="s">
        <v>11</v>
      </c>
    </row>
    <row r="42" spans="1:6" s="9" customFormat="1" ht="41.15" customHeight="1" x14ac:dyDescent="0.3">
      <c r="A42" s="18" t="s">
        <v>89</v>
      </c>
      <c r="B42" s="82" t="s">
        <v>91</v>
      </c>
      <c r="C42" s="109"/>
      <c r="D42" s="81"/>
      <c r="E42" s="81"/>
      <c r="F42" s="81" t="s">
        <v>11</v>
      </c>
    </row>
    <row r="43" spans="1:6" s="9" customFormat="1" ht="27.65" customHeight="1" x14ac:dyDescent="0.3">
      <c r="A43" s="18" t="s">
        <v>89</v>
      </c>
      <c r="B43" s="82" t="s">
        <v>92</v>
      </c>
      <c r="C43" s="109"/>
      <c r="D43" s="81"/>
      <c r="E43" s="81"/>
      <c r="F43" s="81" t="s">
        <v>11</v>
      </c>
    </row>
    <row r="44" spans="1:6" s="9" customFormat="1" ht="27.65" customHeight="1" x14ac:dyDescent="0.3">
      <c r="A44" s="18" t="s">
        <v>89</v>
      </c>
      <c r="B44" s="82" t="s">
        <v>93</v>
      </c>
      <c r="C44" s="109"/>
      <c r="D44" s="81"/>
      <c r="E44" s="81"/>
      <c r="F44" s="81" t="s">
        <v>11</v>
      </c>
    </row>
    <row r="45" spans="1:6" s="9" customFormat="1" ht="27.65" customHeight="1" x14ac:dyDescent="0.3">
      <c r="A45" s="18" t="s">
        <v>89</v>
      </c>
      <c r="B45" s="82" t="s">
        <v>94</v>
      </c>
      <c r="C45" s="109"/>
      <c r="D45" s="81"/>
      <c r="E45" s="81"/>
      <c r="F45" s="81" t="s">
        <v>11</v>
      </c>
    </row>
    <row r="46" spans="1:6" s="9" customFormat="1" ht="27.65" customHeight="1" x14ac:dyDescent="0.3">
      <c r="A46" s="18" t="s">
        <v>89</v>
      </c>
      <c r="B46" s="82" t="s">
        <v>95</v>
      </c>
      <c r="C46" s="109"/>
      <c r="D46" s="81"/>
      <c r="E46" s="81"/>
      <c r="F46" s="81" t="s">
        <v>11</v>
      </c>
    </row>
    <row r="47" spans="1:6" s="9" customFormat="1" ht="39" customHeight="1" x14ac:dyDescent="0.3">
      <c r="A47" s="79"/>
      <c r="B47" s="128" t="s">
        <v>96</v>
      </c>
      <c r="C47" s="128"/>
      <c r="D47" s="80"/>
      <c r="E47" s="81"/>
      <c r="F47" s="80"/>
    </row>
    <row r="48" spans="1:6" s="9" customFormat="1" ht="27.65" customHeight="1" x14ac:dyDescent="0.3">
      <c r="A48" s="20" t="s">
        <v>97</v>
      </c>
      <c r="B48" s="12" t="s">
        <v>97</v>
      </c>
      <c r="C48" s="13"/>
      <c r="D48" s="12"/>
      <c r="E48" s="12"/>
      <c r="F48" s="12" t="s">
        <v>97</v>
      </c>
    </row>
    <row r="49" spans="1:6" s="9" customFormat="1" ht="27.65" customHeight="1" x14ac:dyDescent="0.3">
      <c r="A49" s="11"/>
      <c r="B49" s="12"/>
      <c r="C49" s="13"/>
      <c r="D49" s="12"/>
      <c r="E49" s="12"/>
      <c r="F49" s="12"/>
    </row>
    <row r="50" spans="1:6" s="9" customFormat="1" ht="31.4" customHeight="1" x14ac:dyDescent="0.3">
      <c r="A50" s="11"/>
      <c r="B50" s="12"/>
      <c r="C50" s="13"/>
      <c r="D50" s="12"/>
      <c r="E50" s="12"/>
      <c r="F50" s="12"/>
    </row>
  </sheetData>
  <customSheetViews>
    <customSheetView guid="{B1D8F901-FC69-4993-BE16-C86A3096BF44}">
      <selection activeCell="J10" sqref="J10"/>
      <pageMargins left="0" right="0" top="0" bottom="0" header="0" footer="0"/>
      <printOptions horizontalCentered="1"/>
      <pageSetup fitToHeight="2" orientation="landscape" horizontalDpi="4294967293" r:id="rId1"/>
      <headerFooter alignWithMargins="0">
        <oddHeader>&amp;C&amp;"Arial,Bold"&amp;14 CVS Health
2018 Enterprise Disaster Recovery Exercises</oddHeader>
        <oddFooter>&amp;L&amp;D&amp;CPage &amp;P of &amp;N</oddFooter>
      </headerFooter>
    </customSheetView>
  </customSheetViews>
  <mergeCells count="1">
    <mergeCell ref="B47:C47"/>
  </mergeCells>
  <phoneticPr fontId="4" type="noConversion"/>
  <printOptions horizontalCentered="1"/>
  <pageMargins left="0.25" right="0.25" top="1" bottom="1" header="0.5" footer="0.5"/>
  <pageSetup fitToHeight="2" orientation="landscape" horizontalDpi="4294967293" r:id="rId2"/>
  <headerFooter alignWithMargins="0">
    <oddHeader>&amp;C&amp;"Arial,Bold"&amp;14 CVS Health
2019 Enterprise Disaster Recovery Exercises</oddHeader>
    <oddFooter>&amp;L&amp;D&amp;CPage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1:R97"/>
  <sheetViews>
    <sheetView topLeftCell="A46" workbookViewId="0">
      <selection activeCell="A2" sqref="A2:XFD6"/>
    </sheetView>
  </sheetViews>
  <sheetFormatPr defaultRowHeight="12.5" x14ac:dyDescent="0.25"/>
  <sheetData>
    <row r="1" spans="3:18" ht="13" thickBot="1" x14ac:dyDescent="0.3"/>
    <row r="2" spans="3:18" ht="13.4" customHeight="1" x14ac:dyDescent="0.25">
      <c r="C2" s="138" t="s">
        <v>98</v>
      </c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40"/>
    </row>
    <row r="3" spans="3:18" x14ac:dyDescent="0.25">
      <c r="C3" s="141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3"/>
    </row>
    <row r="4" spans="3:18" x14ac:dyDescent="0.25">
      <c r="C4" s="141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3"/>
    </row>
    <row r="5" spans="3:18" ht="13" thickBot="1" x14ac:dyDescent="0.3">
      <c r="C5" s="144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6"/>
    </row>
    <row r="94" spans="3:18" ht="13" thickBot="1" x14ac:dyDescent="0.3"/>
    <row r="95" spans="3:18" ht="13.4" customHeight="1" x14ac:dyDescent="0.25">
      <c r="C95" s="129" t="s">
        <v>99</v>
      </c>
      <c r="D95" s="130"/>
      <c r="E95" s="130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1"/>
    </row>
    <row r="96" spans="3:18" x14ac:dyDescent="0.25">
      <c r="C96" s="132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4"/>
    </row>
    <row r="97" spans="3:18" ht="13" thickBot="1" x14ac:dyDescent="0.3">
      <c r="C97" s="135"/>
      <c r="D97" s="136"/>
      <c r="E97" s="136"/>
      <c r="F97" s="136"/>
      <c r="G97" s="136"/>
      <c r="H97" s="136"/>
      <c r="I97" s="136"/>
      <c r="J97" s="136"/>
      <c r="K97" s="136"/>
      <c r="L97" s="136"/>
      <c r="M97" s="136"/>
      <c r="N97" s="136"/>
      <c r="O97" s="136"/>
      <c r="P97" s="136"/>
      <c r="Q97" s="136"/>
      <c r="R97" s="137"/>
    </row>
  </sheetData>
  <customSheetViews>
    <customSheetView guid="{B1D8F901-FC69-4993-BE16-C86A3096BF44}" state="hidden" topLeftCell="A46">
      <selection activeCell="A2" sqref="A2:XFD6"/>
      <pageMargins left="0" right="0" top="0" bottom="0" header="0" footer="0"/>
      <pageSetup orientation="portrait" horizontalDpi="4294967293" verticalDpi="0" r:id="rId1"/>
    </customSheetView>
  </customSheetViews>
  <mergeCells count="2">
    <mergeCell ref="C95:R97"/>
    <mergeCell ref="C2:R5"/>
  </mergeCells>
  <pageMargins left="0.7" right="0.7" top="0.75" bottom="0.75" header="0.3" footer="0.3"/>
  <pageSetup orientation="portrait" horizontalDpi="4294967293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filterMode="1"/>
  <dimension ref="A1:AD25"/>
  <sheetViews>
    <sheetView zoomScaleNormal="100" workbookViewId="0">
      <pane ySplit="1" topLeftCell="A2" activePane="bottomLeft" state="frozen"/>
      <selection activeCell="C1" sqref="C1"/>
      <selection pane="bottomLeft" activeCell="H2" sqref="H2:H10"/>
    </sheetView>
  </sheetViews>
  <sheetFormatPr defaultColWidth="9.453125" defaultRowHeight="26.25" customHeight="1" x14ac:dyDescent="0.3"/>
  <cols>
    <col min="1" max="1" width="9.453125" style="28"/>
    <col min="2" max="2" width="13.54296875" style="28" bestFit="1" customWidth="1"/>
    <col min="3" max="3" width="18.453125" style="52" customWidth="1"/>
    <col min="4" max="4" width="10.453125" style="28" bestFit="1" customWidth="1"/>
    <col min="5" max="6" width="10.453125" style="86" customWidth="1"/>
    <col min="7" max="7" width="6.453125" style="31" customWidth="1"/>
    <col min="8" max="8" width="48.54296875" style="52" customWidth="1"/>
    <col min="9" max="9" width="22.453125" style="28" customWidth="1"/>
    <col min="10" max="10" width="11.453125" style="31" customWidth="1"/>
    <col min="11" max="11" width="10.54296875" style="65" bestFit="1" customWidth="1"/>
    <col min="12" max="12" width="17" style="47" bestFit="1" customWidth="1"/>
    <col min="13" max="13" width="12.54296875" style="44" customWidth="1"/>
    <col min="14" max="14" width="11.453125" style="44" customWidth="1"/>
    <col min="15" max="18" width="10.453125" style="44" customWidth="1"/>
    <col min="19" max="19" width="13.54296875" style="47" customWidth="1"/>
    <col min="20" max="20" width="36.54296875" style="52" customWidth="1"/>
    <col min="21" max="21" width="28.453125" style="57" customWidth="1"/>
    <col min="22" max="22" width="25.453125" style="49" customWidth="1"/>
    <col min="23" max="23" width="50.453125" style="49" customWidth="1"/>
    <col min="24" max="24" width="19.453125" style="49" customWidth="1"/>
    <col min="25" max="25" width="39.54296875" style="49" customWidth="1"/>
    <col min="26" max="26" width="12.453125" style="35" customWidth="1"/>
    <col min="27" max="27" width="19.453125" style="49" customWidth="1"/>
    <col min="28" max="28" width="20" style="28" bestFit="1" customWidth="1"/>
    <col min="29" max="29" width="11.54296875" style="19" customWidth="1"/>
    <col min="30" max="30" width="11.453125" style="19" customWidth="1"/>
    <col min="31" max="16384" width="9.453125" style="19"/>
  </cols>
  <sheetData>
    <row r="1" spans="1:30" s="47" customFormat="1" ht="26.25" customHeight="1" x14ac:dyDescent="0.3">
      <c r="A1" s="33" t="s">
        <v>5</v>
      </c>
      <c r="B1" s="33" t="s">
        <v>100</v>
      </c>
      <c r="C1" s="112" t="s">
        <v>101</v>
      </c>
      <c r="D1" s="33" t="s">
        <v>102</v>
      </c>
      <c r="E1" s="85" t="s">
        <v>103</v>
      </c>
      <c r="F1" s="85" t="s">
        <v>104</v>
      </c>
      <c r="G1" s="33" t="s">
        <v>105</v>
      </c>
      <c r="H1" s="104" t="s">
        <v>106</v>
      </c>
      <c r="I1" s="38" t="s">
        <v>107</v>
      </c>
      <c r="J1" s="37" t="s">
        <v>108</v>
      </c>
      <c r="K1" s="37" t="s">
        <v>109</v>
      </c>
      <c r="L1" s="104" t="s">
        <v>110</v>
      </c>
      <c r="M1" s="105" t="s">
        <v>111</v>
      </c>
      <c r="N1" s="105" t="s">
        <v>112</v>
      </c>
      <c r="O1" s="105" t="s">
        <v>113</v>
      </c>
      <c r="P1" s="105" t="s">
        <v>114</v>
      </c>
      <c r="Q1" s="105" t="s">
        <v>115</v>
      </c>
      <c r="R1" s="105" t="s">
        <v>116</v>
      </c>
      <c r="S1" s="106" t="s">
        <v>117</v>
      </c>
      <c r="T1" s="104" t="s">
        <v>118</v>
      </c>
      <c r="U1" s="62" t="s">
        <v>119</v>
      </c>
      <c r="V1" s="37" t="s">
        <v>120</v>
      </c>
      <c r="W1" s="37" t="s">
        <v>121</v>
      </c>
      <c r="X1" s="37" t="s">
        <v>122</v>
      </c>
      <c r="Y1" s="37" t="s">
        <v>123</v>
      </c>
      <c r="Z1" s="104" t="s">
        <v>124</v>
      </c>
      <c r="AA1" s="37" t="s">
        <v>125</v>
      </c>
      <c r="AB1" s="37" t="s">
        <v>126</v>
      </c>
      <c r="AC1" s="37" t="s">
        <v>127</v>
      </c>
      <c r="AD1" s="37" t="s">
        <v>128</v>
      </c>
    </row>
    <row r="2" spans="1:30" ht="26.25" customHeight="1" x14ac:dyDescent="0.3">
      <c r="A2" s="27" t="str">
        <f>IFERROR(INDEX(#REF!,MATCH($H2,#REF!,0)),"")</f>
        <v/>
      </c>
      <c r="B2" s="27" t="str">
        <f>IFERROR(INDEX(#REF!,MATCH($H2,#REF!,0)),"")</f>
        <v/>
      </c>
      <c r="C2" s="48" t="str">
        <f>IFERROR(INDEX(#REF!,MATCH($H2,#REF!,0)),"")</f>
        <v/>
      </c>
      <c r="D2" s="27" t="str">
        <f>IFERROR(INDEX(#REF!,MATCH($H2,#REF!,0)),"")</f>
        <v/>
      </c>
      <c r="E2" s="84" t="str">
        <f>IFERROR(INDEX(#REF!,MATCH($H2,#REF!,0)),"")</f>
        <v/>
      </c>
      <c r="F2" s="84" t="str">
        <f>IFERROR(INDEX(#REF!,MATCH($H2,#REF!,0)),"")</f>
        <v/>
      </c>
      <c r="G2" s="30" t="str">
        <f>IFERROR(INDEX(#REF!,MATCH($H2,#REF!,0)),"")</f>
        <v/>
      </c>
      <c r="H2" s="34" t="s">
        <v>129</v>
      </c>
      <c r="I2" s="27" t="str">
        <f>IFERROR(INDEX(#REF!,MATCH($H2,#REF!,0)),"")</f>
        <v/>
      </c>
      <c r="J2" s="27" t="str">
        <f>IFERROR(INDEX(#REF!,MATCH($H2,#REF!,0)),"")</f>
        <v/>
      </c>
      <c r="K2" s="83" t="str">
        <f>IFERROR(INDEX(#REF!,MATCH($H2,#REF!,0)),"")</f>
        <v/>
      </c>
      <c r="L2" s="41">
        <f t="shared" ref="L2:L11" si="0">S2</f>
        <v>44099</v>
      </c>
      <c r="M2" s="40"/>
      <c r="N2" s="39"/>
      <c r="O2" s="40"/>
      <c r="P2" s="40"/>
      <c r="Q2" s="40"/>
      <c r="R2" s="40"/>
      <c r="S2" s="72">
        <v>44099</v>
      </c>
      <c r="T2" s="51"/>
      <c r="U2" s="56" t="str">
        <f>IFERROR(INDEX(#REF!,MATCH($H2,#REF!,0)),"")</f>
        <v/>
      </c>
      <c r="V2" s="48" t="str">
        <f>IFERROR(INDEX(#REF!,MATCH($H2,#REF!,0)),"")</f>
        <v/>
      </c>
      <c r="W2" s="48" t="str">
        <f>IFERROR(INDEX(#REF!,MATCH($H2,#REF!,0)),"")</f>
        <v/>
      </c>
      <c r="X2" s="48" t="str">
        <f>IFERROR(INDEX(#REF!,MATCH($H2,#REF!,0)),"")</f>
        <v/>
      </c>
      <c r="Y2" s="48" t="str">
        <f>IFERROR(INDEX(#REF!,MATCH($H2,#REF!,0)),"")</f>
        <v/>
      </c>
      <c r="Z2" s="34"/>
      <c r="AA2" s="48" t="str">
        <f>IFERROR(INDEX(#REF!,MATCH($H2,#REF!,0)),"")</f>
        <v/>
      </c>
      <c r="AB2" s="27" t="str">
        <f>IFERROR(INDEX(#REF!,MATCH($H2,#REF!,0)),"")</f>
        <v/>
      </c>
      <c r="AC2" s="63" t="str">
        <f>IFERROR(INDEX(#REF!,MATCH($H2,#REF!,0)),"")</f>
        <v/>
      </c>
      <c r="AD2" s="63" t="str">
        <f>IFERROR(INDEX(#REF!,MATCH($H2,#REF!,0)),"")</f>
        <v/>
      </c>
    </row>
    <row r="3" spans="1:30" ht="26.25" customHeight="1" x14ac:dyDescent="0.3">
      <c r="A3" s="27" t="str">
        <f>IFERROR(INDEX(#REF!,MATCH($H3,#REF!,0)),"")</f>
        <v/>
      </c>
      <c r="B3" s="27" t="str">
        <f>IFERROR(INDEX(#REF!,MATCH($H3,#REF!,0)),"")</f>
        <v/>
      </c>
      <c r="C3" s="48" t="str">
        <f>IFERROR(INDEX(#REF!,MATCH($H3,#REF!,0)),"")</f>
        <v/>
      </c>
      <c r="D3" s="27" t="str">
        <f>IFERROR(INDEX(#REF!,MATCH($H3,#REF!,0)),"")</f>
        <v/>
      </c>
      <c r="E3" s="84" t="str">
        <f>IFERROR(INDEX(#REF!,MATCH($H3,#REF!,0)),"")</f>
        <v/>
      </c>
      <c r="F3" s="84" t="str">
        <f>IFERROR(INDEX(#REF!,MATCH($H3,#REF!,0)),"")</f>
        <v/>
      </c>
      <c r="G3" s="30" t="str">
        <f>IFERROR(INDEX(#REF!,MATCH($H3,#REF!,0)),"")</f>
        <v/>
      </c>
      <c r="H3" s="34" t="s">
        <v>130</v>
      </c>
      <c r="I3" s="27" t="str">
        <f>IFERROR(INDEX(#REF!,MATCH($H3,#REF!,0)),"")</f>
        <v/>
      </c>
      <c r="J3" s="27" t="str">
        <f>IFERROR(INDEX(#REF!,MATCH($H3,#REF!,0)),"")</f>
        <v/>
      </c>
      <c r="K3" s="83" t="str">
        <f>IFERROR(INDEX(#REF!,MATCH($H3,#REF!,0)),"")</f>
        <v/>
      </c>
      <c r="L3" s="41">
        <f t="shared" si="0"/>
        <v>44062</v>
      </c>
      <c r="M3" s="40"/>
      <c r="N3" s="39"/>
      <c r="O3" s="40"/>
      <c r="P3" s="40"/>
      <c r="Q3" s="40"/>
      <c r="R3" s="40"/>
      <c r="S3" s="72">
        <v>44062</v>
      </c>
      <c r="T3" s="51"/>
      <c r="U3" s="56" t="str">
        <f>IFERROR(INDEX(#REF!,MATCH($H3,#REF!,0)),"")</f>
        <v/>
      </c>
      <c r="V3" s="48" t="str">
        <f>IFERROR(INDEX(#REF!,MATCH($H3,#REF!,0)),"")</f>
        <v/>
      </c>
      <c r="W3" s="48" t="str">
        <f>IFERROR(INDEX(#REF!,MATCH($H3,#REF!,0)),"")</f>
        <v/>
      </c>
      <c r="X3" s="48" t="str">
        <f>IFERROR(INDEX(#REF!,MATCH($H3,#REF!,0)),"")</f>
        <v/>
      </c>
      <c r="Y3" s="48" t="str">
        <f>IFERROR(INDEX(#REF!,MATCH($H3,#REF!,0)),"")</f>
        <v/>
      </c>
      <c r="Z3" s="34"/>
      <c r="AA3" s="48" t="str">
        <f>IFERROR(INDEX(#REF!,MATCH($H3,#REF!,0)),"")</f>
        <v/>
      </c>
      <c r="AB3" s="27" t="str">
        <f>IFERROR(INDEX(#REF!,MATCH($H3,#REF!,0)),"")</f>
        <v/>
      </c>
      <c r="AC3" s="63" t="str">
        <f>IFERROR(INDEX(#REF!,MATCH($H3,#REF!,0)),"")</f>
        <v/>
      </c>
      <c r="AD3" s="63" t="str">
        <f>IFERROR(INDEX(#REF!,MATCH($H3,#REF!,0)),"")</f>
        <v/>
      </c>
    </row>
    <row r="4" spans="1:30" ht="26.25" customHeight="1" x14ac:dyDescent="0.3">
      <c r="A4" s="27" t="str">
        <f>IFERROR(INDEX(#REF!,MATCH($H4,#REF!,0)),"")</f>
        <v/>
      </c>
      <c r="B4" s="27" t="str">
        <f>IFERROR(INDEX(#REF!,MATCH($H4,#REF!,0)),"")</f>
        <v/>
      </c>
      <c r="C4" s="48" t="str">
        <f>IFERROR(INDEX(#REF!,MATCH($H4,#REF!,0)),"")</f>
        <v/>
      </c>
      <c r="D4" s="27" t="str">
        <f>IFERROR(INDEX(#REF!,MATCH($H4,#REF!,0)),"")</f>
        <v/>
      </c>
      <c r="E4" s="84" t="str">
        <f>IFERROR(INDEX(#REF!,MATCH($H4,#REF!,0)),"")</f>
        <v/>
      </c>
      <c r="F4" s="84" t="str">
        <f>IFERROR(INDEX(#REF!,MATCH($H4,#REF!,0)),"")</f>
        <v/>
      </c>
      <c r="G4" s="30" t="str">
        <f>IFERROR(INDEX(#REF!,MATCH($H4,#REF!,0)),"")</f>
        <v/>
      </c>
      <c r="H4" s="51" t="s">
        <v>131</v>
      </c>
      <c r="I4" s="27" t="str">
        <f>IFERROR(INDEX(#REF!,MATCH($H4,#REF!,0)),"")</f>
        <v/>
      </c>
      <c r="J4" s="27" t="str">
        <f>IFERROR(INDEX(#REF!,MATCH($H4,#REF!,0)),"")</f>
        <v/>
      </c>
      <c r="K4" s="83" t="str">
        <f>IFERROR(INDEX(#REF!,MATCH($H4,#REF!,0)),"")</f>
        <v/>
      </c>
      <c r="L4" s="41">
        <f t="shared" si="0"/>
        <v>44012</v>
      </c>
      <c r="M4" s="40"/>
      <c r="N4" s="39"/>
      <c r="O4" s="40"/>
      <c r="P4" s="40"/>
      <c r="Q4" s="40"/>
      <c r="R4" s="40"/>
      <c r="S4" s="72">
        <v>44012</v>
      </c>
      <c r="T4" s="51"/>
      <c r="U4" s="56" t="str">
        <f>IFERROR(INDEX(#REF!,MATCH($H4,#REF!,0)),"")</f>
        <v/>
      </c>
      <c r="V4" s="48" t="str">
        <f>IFERROR(INDEX(#REF!,MATCH($H4,#REF!,0)),"")</f>
        <v/>
      </c>
      <c r="W4" s="48" t="str">
        <f>IFERROR(INDEX(#REF!,MATCH($H4,#REF!,0)),"")</f>
        <v/>
      </c>
      <c r="X4" s="48" t="str">
        <f>IFERROR(INDEX(#REF!,MATCH($H4,#REF!,0)),"")</f>
        <v/>
      </c>
      <c r="Y4" s="48" t="str">
        <f>IFERROR(INDEX(#REF!,MATCH($H4,#REF!,0)),"")</f>
        <v/>
      </c>
      <c r="Z4" s="34"/>
      <c r="AA4" s="48" t="str">
        <f>IFERROR(INDEX(#REF!,MATCH($H4,#REF!,0)),"")</f>
        <v/>
      </c>
      <c r="AB4" s="27" t="str">
        <f>IFERROR(INDEX(#REF!,MATCH($H4,#REF!,0)),"")</f>
        <v/>
      </c>
      <c r="AC4" s="63" t="str">
        <f>IFERROR(INDEX(#REF!,MATCH($H4,#REF!,0)),"")</f>
        <v/>
      </c>
      <c r="AD4" s="63" t="str">
        <f>IFERROR(INDEX(#REF!,MATCH($H4,#REF!,0)),"")</f>
        <v/>
      </c>
    </row>
    <row r="5" spans="1:30" ht="26.25" customHeight="1" x14ac:dyDescent="0.3">
      <c r="A5" s="27" t="str">
        <f>IFERROR(INDEX(#REF!,MATCH($H5,#REF!,0)),"")</f>
        <v/>
      </c>
      <c r="B5" s="27" t="str">
        <f>IFERROR(INDEX(#REF!,MATCH($H5,#REF!,0)),"")</f>
        <v/>
      </c>
      <c r="C5" s="48" t="str">
        <f>IFERROR(INDEX(#REF!,MATCH($H5,#REF!,0)),"")</f>
        <v/>
      </c>
      <c r="D5" s="27" t="str">
        <f>IFERROR(INDEX(#REF!,MATCH($H5,#REF!,0)),"")</f>
        <v/>
      </c>
      <c r="E5" s="84" t="str">
        <f>IFERROR(INDEX(#REF!,MATCH($H5,#REF!,0)),"")</f>
        <v/>
      </c>
      <c r="F5" s="84" t="str">
        <f>IFERROR(INDEX(#REF!,MATCH($H5,#REF!,0)),"")</f>
        <v/>
      </c>
      <c r="G5" s="30" t="str">
        <f>IFERROR(INDEX(#REF!,MATCH($H5,#REF!,0)),"")</f>
        <v/>
      </c>
      <c r="H5" s="34" t="s">
        <v>132</v>
      </c>
      <c r="I5" s="27" t="str">
        <f>IFERROR(INDEX(#REF!,MATCH($H5,#REF!,0)),"")</f>
        <v/>
      </c>
      <c r="J5" s="27" t="str">
        <f>IFERROR(INDEX(#REF!,MATCH($H5,#REF!,0)),"")</f>
        <v/>
      </c>
      <c r="K5" s="83" t="str">
        <f>IFERROR(INDEX(#REF!,MATCH($H5,#REF!,0)),"")</f>
        <v/>
      </c>
      <c r="L5" s="41">
        <f t="shared" si="0"/>
        <v>44062</v>
      </c>
      <c r="M5" s="40"/>
      <c r="N5" s="40"/>
      <c r="O5" s="40"/>
      <c r="P5" s="40"/>
      <c r="Q5" s="40"/>
      <c r="R5" s="40"/>
      <c r="S5" s="72">
        <v>44062</v>
      </c>
      <c r="T5" s="51"/>
      <c r="U5" s="56" t="str">
        <f>IFERROR(INDEX(#REF!,MATCH($H5,#REF!,0)),"")</f>
        <v/>
      </c>
      <c r="V5" s="48" t="str">
        <f>IFERROR(INDEX(#REF!,MATCH($H5,#REF!,0)),"")</f>
        <v/>
      </c>
      <c r="W5" s="48" t="str">
        <f>IFERROR(INDEX(#REF!,MATCH($H5,#REF!,0)),"")</f>
        <v/>
      </c>
      <c r="X5" s="48" t="str">
        <f>IFERROR(INDEX(#REF!,MATCH($H5,#REF!,0)),"")</f>
        <v/>
      </c>
      <c r="Y5" s="48" t="str">
        <f>IFERROR(INDEX(#REF!,MATCH($H5,#REF!,0)),"")</f>
        <v/>
      </c>
      <c r="Z5" s="34"/>
      <c r="AA5" s="48" t="str">
        <f>IFERROR(INDEX(#REF!,MATCH($H5,#REF!,0)),"")</f>
        <v/>
      </c>
      <c r="AB5" s="27" t="str">
        <f>IFERROR(INDEX(#REF!,MATCH($H5,#REF!,0)),"")</f>
        <v/>
      </c>
      <c r="AC5" s="63" t="str">
        <f>IFERROR(INDEX(#REF!,MATCH($H5,#REF!,0)),"")</f>
        <v/>
      </c>
      <c r="AD5" s="63" t="str">
        <f>IFERROR(INDEX(#REF!,MATCH($H5,#REF!,0)),"")</f>
        <v/>
      </c>
    </row>
    <row r="6" spans="1:30" ht="26.25" customHeight="1" x14ac:dyDescent="0.3">
      <c r="A6" s="27" t="str">
        <f>IFERROR(INDEX(#REF!,MATCH($H6,#REF!,0)),"")</f>
        <v/>
      </c>
      <c r="B6" s="27" t="str">
        <f>IFERROR(INDEX(#REF!,MATCH($H6,#REF!,0)),"")</f>
        <v/>
      </c>
      <c r="C6" s="48" t="str">
        <f>IFERROR(INDEX(#REF!,MATCH($H6,#REF!,0)),"")</f>
        <v/>
      </c>
      <c r="D6" s="27" t="str">
        <f>IFERROR(INDEX(#REF!,MATCH($H6,#REF!,0)),"")</f>
        <v/>
      </c>
      <c r="E6" s="84" t="str">
        <f>IFERROR(INDEX(#REF!,MATCH($H6,#REF!,0)),"")</f>
        <v/>
      </c>
      <c r="F6" s="84" t="str">
        <f>IFERROR(INDEX(#REF!,MATCH($H6,#REF!,0)),"")</f>
        <v/>
      </c>
      <c r="G6" s="30" t="str">
        <f>IFERROR(INDEX(#REF!,MATCH($H6,#REF!,0)),"")</f>
        <v/>
      </c>
      <c r="H6" s="51" t="s">
        <v>133</v>
      </c>
      <c r="I6" s="27" t="str">
        <f>IFERROR(INDEX(#REF!,MATCH($H6,#REF!,0)),"")</f>
        <v/>
      </c>
      <c r="J6" s="27" t="str">
        <f>IFERROR(INDEX(#REF!,MATCH($H6,#REF!,0)),"")</f>
        <v/>
      </c>
      <c r="K6" s="83" t="str">
        <f>IFERROR(INDEX(#REF!,MATCH($H6,#REF!,0)),"")</f>
        <v/>
      </c>
      <c r="L6" s="41">
        <f t="shared" si="0"/>
        <v>44057</v>
      </c>
      <c r="M6" s="40"/>
      <c r="N6" s="39"/>
      <c r="O6" s="39"/>
      <c r="P6" s="39"/>
      <c r="Q6" s="39"/>
      <c r="R6" s="39"/>
      <c r="S6" s="72">
        <v>44057</v>
      </c>
      <c r="T6" s="51"/>
      <c r="U6" s="56" t="str">
        <f>IFERROR(INDEX(#REF!,MATCH($H6,#REF!,0)),"")</f>
        <v/>
      </c>
      <c r="V6" s="48" t="str">
        <f>IFERROR(INDEX(#REF!,MATCH($H6,#REF!,0)),"")</f>
        <v/>
      </c>
      <c r="W6" s="48" t="str">
        <f>IFERROR(INDEX(#REF!,MATCH($H6,#REF!,0)),"")</f>
        <v/>
      </c>
      <c r="X6" s="48" t="str">
        <f>IFERROR(INDEX(#REF!,MATCH($H6,#REF!,0)),"")</f>
        <v/>
      </c>
      <c r="Y6" s="48" t="str">
        <f>IFERROR(INDEX(#REF!,MATCH($H6,#REF!,0)),"")</f>
        <v/>
      </c>
      <c r="Z6" s="34"/>
      <c r="AA6" s="48" t="str">
        <f>IFERROR(INDEX(#REF!,MATCH($H6,#REF!,0)),"")</f>
        <v/>
      </c>
      <c r="AB6" s="27" t="str">
        <f>IFERROR(INDEX(#REF!,MATCH($H6,#REF!,0)),"")</f>
        <v/>
      </c>
      <c r="AC6" s="63" t="str">
        <f>IFERROR(INDEX(#REF!,MATCH($H6,#REF!,0)),"")</f>
        <v/>
      </c>
      <c r="AD6" s="63" t="str">
        <f>IFERROR(INDEX(#REF!,MATCH($H6,#REF!,0)),"")</f>
        <v/>
      </c>
    </row>
    <row r="7" spans="1:30" ht="26.25" customHeight="1" x14ac:dyDescent="0.3">
      <c r="A7" s="27" t="str">
        <f>IFERROR(INDEX(#REF!,MATCH($H7,#REF!,0)),"")</f>
        <v/>
      </c>
      <c r="B7" s="27" t="str">
        <f>IFERROR(INDEX(#REF!,MATCH($H7,#REF!,0)),"")</f>
        <v/>
      </c>
      <c r="C7" s="48" t="str">
        <f>IFERROR(INDEX(#REF!,MATCH($H7,#REF!,0)),"")</f>
        <v/>
      </c>
      <c r="D7" s="27" t="str">
        <f>IFERROR(INDEX(#REF!,MATCH($H7,#REF!,0)),"")</f>
        <v/>
      </c>
      <c r="E7" s="84" t="str">
        <f>IFERROR(INDEX(#REF!,MATCH($H7,#REF!,0)),"")</f>
        <v/>
      </c>
      <c r="F7" s="84" t="str">
        <f>IFERROR(INDEX(#REF!,MATCH($H7,#REF!,0)),"")</f>
        <v/>
      </c>
      <c r="G7" s="30" t="str">
        <f>IFERROR(INDEX(#REF!,MATCH($H7,#REF!,0)),"")</f>
        <v/>
      </c>
      <c r="H7" s="51" t="s">
        <v>134</v>
      </c>
      <c r="I7" s="27" t="str">
        <f>IFERROR(INDEX(#REF!,MATCH($H7,#REF!,0)),"")</f>
        <v/>
      </c>
      <c r="J7" s="27" t="str">
        <f>IFERROR(INDEX(#REF!,MATCH($H7,#REF!,0)),"")</f>
        <v/>
      </c>
      <c r="K7" s="83" t="str">
        <f>IFERROR(INDEX(#REF!,MATCH($H7,#REF!,0)),"")</f>
        <v/>
      </c>
      <c r="L7" s="41">
        <f t="shared" si="0"/>
        <v>43987</v>
      </c>
      <c r="M7" s="40"/>
      <c r="N7" s="40"/>
      <c r="O7" s="40"/>
      <c r="P7" s="40"/>
      <c r="Q7" s="40"/>
      <c r="R7" s="40"/>
      <c r="S7" s="72">
        <v>43987</v>
      </c>
      <c r="T7" s="51"/>
      <c r="U7" s="56" t="str">
        <f>IFERROR(INDEX(#REF!,MATCH($H7,#REF!,0)),"")</f>
        <v/>
      </c>
      <c r="V7" s="48" t="str">
        <f>IFERROR(INDEX(#REF!,MATCH($H7,#REF!,0)),"")</f>
        <v/>
      </c>
      <c r="W7" s="48" t="str">
        <f>IFERROR(INDEX(#REF!,MATCH($H7,#REF!,0)),"")</f>
        <v/>
      </c>
      <c r="X7" s="48" t="str">
        <f>IFERROR(INDEX(#REF!,MATCH($H7,#REF!,0)),"")</f>
        <v/>
      </c>
      <c r="Y7" s="48" t="str">
        <f>IFERROR(INDEX(#REF!,MATCH($H7,#REF!,0)),"")</f>
        <v/>
      </c>
      <c r="Z7" s="34"/>
      <c r="AA7" s="48" t="str">
        <f>IFERROR(INDEX(#REF!,MATCH($H7,#REF!,0)),"")</f>
        <v/>
      </c>
      <c r="AB7" s="27" t="str">
        <f>IFERROR(INDEX(#REF!,MATCH($H7,#REF!,0)),"")</f>
        <v/>
      </c>
      <c r="AC7" s="63" t="str">
        <f>IFERROR(INDEX(#REF!,MATCH($H7,#REF!,0)),"")</f>
        <v/>
      </c>
      <c r="AD7" s="63" t="str">
        <f>IFERROR(INDEX(#REF!,MATCH($H7,#REF!,0)),"")</f>
        <v/>
      </c>
    </row>
    <row r="8" spans="1:30" ht="26.25" customHeight="1" x14ac:dyDescent="0.3">
      <c r="A8" s="27" t="str">
        <f>IFERROR(INDEX(#REF!,MATCH($H8,#REF!,0)),"")</f>
        <v/>
      </c>
      <c r="B8" s="27" t="str">
        <f>IFERROR(INDEX(#REF!,MATCH($H8,#REF!,0)),"")</f>
        <v/>
      </c>
      <c r="C8" s="48" t="str">
        <f>IFERROR(INDEX(#REF!,MATCH($H8,#REF!,0)),"")</f>
        <v/>
      </c>
      <c r="D8" s="27" t="str">
        <f>IFERROR(INDEX(#REF!,MATCH($H8,#REF!,0)),"")</f>
        <v/>
      </c>
      <c r="E8" s="84" t="str">
        <f>IFERROR(INDEX(#REF!,MATCH($H8,#REF!,0)),"")</f>
        <v/>
      </c>
      <c r="F8" s="84" t="str">
        <f>IFERROR(INDEX(#REF!,MATCH($H8,#REF!,0)),"")</f>
        <v/>
      </c>
      <c r="G8" s="30" t="str">
        <f>IFERROR(INDEX(#REF!,MATCH($H8,#REF!,0)),"")</f>
        <v/>
      </c>
      <c r="H8" s="51" t="s">
        <v>135</v>
      </c>
      <c r="I8" s="27" t="str">
        <f>IFERROR(INDEX(#REF!,MATCH($H8,#REF!,0)),"")</f>
        <v/>
      </c>
      <c r="J8" s="27" t="str">
        <f>IFERROR(INDEX(#REF!,MATCH($H8,#REF!,0)),"")</f>
        <v/>
      </c>
      <c r="K8" s="83" t="str">
        <f>IFERROR(INDEX(#REF!,MATCH($H8,#REF!,0)),"")</f>
        <v/>
      </c>
      <c r="L8" s="41">
        <f t="shared" si="0"/>
        <v>44092</v>
      </c>
      <c r="M8" s="40"/>
      <c r="N8" s="39"/>
      <c r="O8" s="40"/>
      <c r="P8" s="40"/>
      <c r="Q8" s="40"/>
      <c r="R8" s="40"/>
      <c r="S8" s="72">
        <v>44092</v>
      </c>
      <c r="T8" s="51" t="s">
        <v>136</v>
      </c>
      <c r="U8" s="56" t="str">
        <f>IFERROR(INDEX(#REF!,MATCH($H8,#REF!,0)),"")</f>
        <v/>
      </c>
      <c r="V8" s="48" t="str">
        <f>IFERROR(INDEX(#REF!,MATCH($H8,#REF!,0)),"")</f>
        <v/>
      </c>
      <c r="W8" s="48" t="str">
        <f>IFERROR(INDEX(#REF!,MATCH($H8,#REF!,0)),"")</f>
        <v/>
      </c>
      <c r="X8" s="48" t="str">
        <f>IFERROR(INDEX(#REF!,MATCH($H8,#REF!,0)),"")</f>
        <v/>
      </c>
      <c r="Y8" s="48" t="str">
        <f>IFERROR(INDEX(#REF!,MATCH($H8,#REF!,0)),"")</f>
        <v/>
      </c>
      <c r="Z8" s="34"/>
      <c r="AA8" s="48" t="str">
        <f>IFERROR(INDEX(#REF!,MATCH($H8,#REF!,0)),"")</f>
        <v/>
      </c>
      <c r="AB8" s="27" t="str">
        <f>IFERROR(INDEX(#REF!,MATCH($H8,#REF!,0)),"")</f>
        <v/>
      </c>
      <c r="AC8" s="63" t="str">
        <f>IFERROR(INDEX(#REF!,MATCH($H8,#REF!,0)),"")</f>
        <v/>
      </c>
      <c r="AD8" s="63" t="str">
        <f>IFERROR(INDEX(#REF!,MATCH($H8,#REF!,0)),"")</f>
        <v/>
      </c>
    </row>
    <row r="9" spans="1:30" ht="26.25" customHeight="1" x14ac:dyDescent="0.3">
      <c r="A9" s="27" t="str">
        <f>IFERROR(INDEX(#REF!,MATCH($H9,#REF!,0)),"")</f>
        <v/>
      </c>
      <c r="B9" s="27" t="str">
        <f>IFERROR(INDEX(#REF!,MATCH($H9,#REF!,0)),"")</f>
        <v/>
      </c>
      <c r="C9" s="48" t="str">
        <f>IFERROR(INDEX(#REF!,MATCH($H9,#REF!,0)),"")</f>
        <v/>
      </c>
      <c r="D9" s="27" t="str">
        <f>IFERROR(INDEX(#REF!,MATCH($H9,#REF!,0)),"")</f>
        <v/>
      </c>
      <c r="E9" s="84" t="str">
        <f>IFERROR(INDEX(#REF!,MATCH($H9,#REF!,0)),"")</f>
        <v/>
      </c>
      <c r="F9" s="84" t="str">
        <f>IFERROR(INDEX(#REF!,MATCH($H9,#REF!,0)),"")</f>
        <v/>
      </c>
      <c r="G9" s="30" t="str">
        <f>IFERROR(INDEX(#REF!,MATCH($H9,#REF!,0)),"")</f>
        <v/>
      </c>
      <c r="H9" s="51" t="s">
        <v>137</v>
      </c>
      <c r="I9" s="27" t="str">
        <f>IFERROR(INDEX(#REF!,MATCH($H9,#REF!,0)),"")</f>
        <v/>
      </c>
      <c r="J9" s="27" t="str">
        <f>IFERROR(INDEX(#REF!,MATCH($H9,#REF!,0)),"")</f>
        <v/>
      </c>
      <c r="K9" s="83" t="str">
        <f>IFERROR(INDEX(#REF!,MATCH($H9,#REF!,0)),"")</f>
        <v/>
      </c>
      <c r="L9" s="41">
        <f t="shared" si="0"/>
        <v>44085</v>
      </c>
      <c r="M9" s="40"/>
      <c r="N9" s="40"/>
      <c r="O9" s="40"/>
      <c r="P9" s="40"/>
      <c r="Q9" s="40"/>
      <c r="R9" s="40"/>
      <c r="S9" s="72">
        <v>44085</v>
      </c>
      <c r="T9" s="51" t="s">
        <v>138</v>
      </c>
      <c r="U9" s="56" t="str">
        <f>IFERROR(INDEX(#REF!,MATCH($H9,#REF!,0)),"")</f>
        <v/>
      </c>
      <c r="V9" s="48" t="str">
        <f>IFERROR(INDEX(#REF!,MATCH($H9,#REF!,0)),"")</f>
        <v/>
      </c>
      <c r="W9" s="48" t="str">
        <f>IFERROR(INDEX(#REF!,MATCH($H9,#REF!,0)),"")</f>
        <v/>
      </c>
      <c r="X9" s="48" t="str">
        <f>IFERROR(INDEX(#REF!,MATCH($H9,#REF!,0)),"")</f>
        <v/>
      </c>
      <c r="Y9" s="48" t="str">
        <f>IFERROR(INDEX(#REF!,MATCH($H9,#REF!,0)),"")</f>
        <v/>
      </c>
      <c r="Z9" s="34"/>
      <c r="AA9" s="48" t="str">
        <f>IFERROR(INDEX(#REF!,MATCH($H9,#REF!,0)),"")</f>
        <v/>
      </c>
      <c r="AB9" s="27" t="str">
        <f>IFERROR(INDEX(#REF!,MATCH($H9,#REF!,0)),"")</f>
        <v/>
      </c>
      <c r="AC9" s="63" t="str">
        <f>IFERROR(INDEX(#REF!,MATCH($H9,#REF!,0)),"")</f>
        <v/>
      </c>
      <c r="AD9" s="63" t="str">
        <f>IFERROR(INDEX(#REF!,MATCH($H9,#REF!,0)),"")</f>
        <v/>
      </c>
    </row>
    <row r="10" spans="1:30" ht="26.25" customHeight="1" x14ac:dyDescent="0.3">
      <c r="A10" s="27" t="str">
        <f>IFERROR(INDEX(#REF!,MATCH($H10,#REF!,0)),"")</f>
        <v/>
      </c>
      <c r="B10" s="27" t="str">
        <f>IFERROR(INDEX(#REF!,MATCH($H10,#REF!,0)),"")</f>
        <v/>
      </c>
      <c r="C10" s="48" t="str">
        <f>IFERROR(INDEX(#REF!,MATCH($H10,#REF!,0)),"")</f>
        <v/>
      </c>
      <c r="D10" s="27" t="str">
        <f>IFERROR(INDEX(#REF!,MATCH($H10,#REF!,0)),"")</f>
        <v/>
      </c>
      <c r="E10" s="84" t="str">
        <f>IFERROR(INDEX(#REF!,MATCH($H10,#REF!,0)),"")</f>
        <v/>
      </c>
      <c r="F10" s="84" t="str">
        <f>IFERROR(INDEX(#REF!,MATCH($H10,#REF!,0)),"")</f>
        <v/>
      </c>
      <c r="G10" s="30" t="str">
        <f>IFERROR(INDEX(#REF!,MATCH($H10,#REF!,0)),"")</f>
        <v/>
      </c>
      <c r="H10" s="51" t="s">
        <v>139</v>
      </c>
      <c r="I10" s="27" t="str">
        <f>IFERROR(INDEX(#REF!,MATCH($H10,#REF!,0)),"")</f>
        <v/>
      </c>
      <c r="J10" s="27" t="str">
        <f>IFERROR(INDEX(#REF!,MATCH($H10,#REF!,0)),"")</f>
        <v/>
      </c>
      <c r="K10" s="83" t="str">
        <f>IFERROR(INDEX(#REF!,MATCH($H10,#REF!,0)),"")</f>
        <v/>
      </c>
      <c r="L10" s="41">
        <f t="shared" si="0"/>
        <v>44057</v>
      </c>
      <c r="M10" s="40"/>
      <c r="N10" s="39"/>
      <c r="O10" s="39"/>
      <c r="P10" s="39"/>
      <c r="Q10" s="39"/>
      <c r="R10" s="39"/>
      <c r="S10" s="72">
        <v>44057</v>
      </c>
      <c r="T10" s="51"/>
      <c r="U10" s="56" t="str">
        <f>IFERROR(INDEX(#REF!,MATCH($H10,#REF!,0)),"")</f>
        <v/>
      </c>
      <c r="V10" s="48" t="str">
        <f>IFERROR(INDEX(#REF!,MATCH($H10,#REF!,0)),"")</f>
        <v/>
      </c>
      <c r="W10" s="48" t="str">
        <f>IFERROR(INDEX(#REF!,MATCH($H10,#REF!,0)),"")</f>
        <v/>
      </c>
      <c r="X10" s="48" t="str">
        <f>IFERROR(INDEX(#REF!,MATCH($H10,#REF!,0)),"")</f>
        <v/>
      </c>
      <c r="Y10" s="48" t="str">
        <f>IFERROR(INDEX(#REF!,MATCH($H10,#REF!,0)),"")</f>
        <v/>
      </c>
      <c r="Z10" s="34"/>
      <c r="AA10" s="48" t="str">
        <f>IFERROR(INDEX(#REF!,MATCH($H10,#REF!,0)),"")</f>
        <v/>
      </c>
      <c r="AB10" s="27" t="str">
        <f>IFERROR(INDEX(#REF!,MATCH($H10,#REF!,0)),"")</f>
        <v/>
      </c>
      <c r="AC10" s="63" t="str">
        <f>IFERROR(INDEX(#REF!,MATCH($H10,#REF!,0)),"")</f>
        <v/>
      </c>
      <c r="AD10" s="63" t="str">
        <f>IFERROR(INDEX(#REF!,MATCH($H10,#REF!,0)),"")</f>
        <v/>
      </c>
    </row>
    <row r="11" spans="1:30" ht="26.25" customHeight="1" x14ac:dyDescent="0.3">
      <c r="A11" s="27" t="str">
        <f>IFERROR(INDEX(#REF!,MATCH($H11,#REF!,0)),"")</f>
        <v/>
      </c>
      <c r="B11" s="27" t="str">
        <f>IFERROR(INDEX(#REF!,MATCH($H11,#REF!,0)),"")</f>
        <v/>
      </c>
      <c r="C11" s="48" t="str">
        <f>IFERROR(INDEX(#REF!,MATCH($H11,#REF!,0)),"")</f>
        <v/>
      </c>
      <c r="D11" s="27" t="str">
        <f>IFERROR(INDEX(#REF!,MATCH($H11,#REF!,0)),"")</f>
        <v/>
      </c>
      <c r="E11" s="84" t="str">
        <f>IFERROR(INDEX(#REF!,MATCH($H11,#REF!,0)),"")</f>
        <v/>
      </c>
      <c r="F11" s="84" t="str">
        <f>IFERROR(INDEX(#REF!,MATCH($H11,#REF!,0)),"")</f>
        <v/>
      </c>
      <c r="G11" s="30" t="str">
        <f>IFERROR(INDEX(#REF!,MATCH($H11,#REF!,0)),"")</f>
        <v/>
      </c>
      <c r="H11" s="34" t="s">
        <v>140</v>
      </c>
      <c r="I11" s="27" t="str">
        <f>IFERROR(INDEX(#REF!,MATCH($H11,#REF!,0)),"")</f>
        <v/>
      </c>
      <c r="J11" s="27" t="str">
        <f>IFERROR(INDEX(#REF!,MATCH($H11,#REF!,0)),"")</f>
        <v/>
      </c>
      <c r="K11" s="83" t="str">
        <f>IFERROR(INDEX(#REF!,MATCH($H11,#REF!,0)),"")</f>
        <v/>
      </c>
      <c r="L11" s="41">
        <f t="shared" si="0"/>
        <v>43962</v>
      </c>
      <c r="M11" s="40"/>
      <c r="N11" s="40"/>
      <c r="O11" s="40"/>
      <c r="P11" s="40"/>
      <c r="Q11" s="40"/>
      <c r="R11" s="40"/>
      <c r="S11" s="72">
        <v>43962</v>
      </c>
      <c r="T11" s="51"/>
      <c r="U11" s="56" t="str">
        <f>IFERROR(INDEX(#REF!,MATCH($H11,#REF!,0)),"")</f>
        <v/>
      </c>
      <c r="V11" s="48" t="str">
        <f>IFERROR(INDEX(#REF!,MATCH($H11,#REF!,0)),"")</f>
        <v/>
      </c>
      <c r="W11" s="48" t="str">
        <f>IFERROR(INDEX(#REF!,MATCH($H11,#REF!,0)),"")</f>
        <v/>
      </c>
      <c r="X11" s="48" t="str">
        <f>IFERROR(INDEX(#REF!,MATCH($H11,#REF!,0)),"")</f>
        <v/>
      </c>
      <c r="Y11" s="48" t="str">
        <f>IFERROR(INDEX(#REF!,MATCH($H11,#REF!,0)),"")</f>
        <v/>
      </c>
      <c r="Z11" s="34"/>
      <c r="AA11" s="48" t="str">
        <f>IFERROR(INDEX(#REF!,MATCH($H11,#REF!,0)),"")</f>
        <v/>
      </c>
      <c r="AB11" s="27" t="str">
        <f>IFERROR(INDEX(#REF!,MATCH($H11,#REF!,0)),"")</f>
        <v/>
      </c>
      <c r="AC11" s="63" t="str">
        <f>IFERROR(INDEX(#REF!,MATCH($H11,#REF!,0)),"")</f>
        <v/>
      </c>
      <c r="AD11" s="63" t="str">
        <f>IFERROR(INDEX(#REF!,MATCH($H11,#REF!,0)),"")</f>
        <v/>
      </c>
    </row>
    <row r="12" spans="1:30" ht="26.25" customHeight="1" x14ac:dyDescent="0.3">
      <c r="A12" s="27" t="str">
        <f>IFERROR(INDEX(#REF!,MATCH($H12,#REF!,0)),"")</f>
        <v/>
      </c>
      <c r="B12" s="27" t="str">
        <f>IFERROR(INDEX(#REF!,MATCH($H12,#REF!,0)),"")</f>
        <v/>
      </c>
      <c r="C12" s="48" t="str">
        <f>IFERROR(INDEX(#REF!,MATCH($H12,#REF!,0)),"")</f>
        <v/>
      </c>
      <c r="D12" s="27" t="str">
        <f>IFERROR(INDEX(#REF!,MATCH($H12,#REF!,0)),"")</f>
        <v/>
      </c>
      <c r="E12" s="84" t="str">
        <f>IFERROR(INDEX(#REF!,MATCH($H12,#REF!,0)),"")</f>
        <v/>
      </c>
      <c r="F12" s="84" t="str">
        <f>IFERROR(INDEX(#REF!,MATCH($H12,#REF!,0)),"")</f>
        <v/>
      </c>
      <c r="G12" s="30" t="str">
        <f>IFERROR(INDEX(#REF!,MATCH($H12,#REF!,0)),"")</f>
        <v/>
      </c>
      <c r="H12" s="51" t="s">
        <v>141</v>
      </c>
      <c r="I12" s="27" t="str">
        <f>IFERROR(INDEX(#REF!,MATCH($H12,#REF!,0)),"")</f>
        <v/>
      </c>
      <c r="J12" s="27" t="str">
        <f>IFERROR(INDEX(#REF!,MATCH($H12,#REF!,0)),"")</f>
        <v/>
      </c>
      <c r="K12" s="83" t="str">
        <f>IFERROR(INDEX(#REF!,MATCH($H12,#REF!,0)),"")</f>
        <v/>
      </c>
      <c r="L12" s="41">
        <v>44043</v>
      </c>
      <c r="M12" s="40"/>
      <c r="N12" s="40"/>
      <c r="O12" s="74" t="s">
        <v>142</v>
      </c>
      <c r="P12" s="40"/>
      <c r="Q12" s="69"/>
      <c r="R12" s="40"/>
      <c r="S12" s="72">
        <v>44029</v>
      </c>
      <c r="T12" s="51"/>
      <c r="U12" s="56" t="str">
        <f>IFERROR(INDEX(#REF!,MATCH($H12,#REF!,0)),"")</f>
        <v/>
      </c>
      <c r="V12" s="48" t="str">
        <f>IFERROR(INDEX(#REF!,MATCH($H12,#REF!,0)),"")</f>
        <v/>
      </c>
      <c r="W12" s="48" t="str">
        <f>IFERROR(INDEX(#REF!,MATCH($H12,#REF!,0)),"")</f>
        <v/>
      </c>
      <c r="X12" s="48" t="str">
        <f>IFERROR(INDEX(#REF!,MATCH($H12,#REF!,0)),"")</f>
        <v/>
      </c>
      <c r="Y12" s="48" t="str">
        <f>IFERROR(INDEX(#REF!,MATCH($H12,#REF!,0)),"")</f>
        <v/>
      </c>
      <c r="Z12" s="34"/>
      <c r="AA12" s="48" t="str">
        <f>IFERROR(INDEX(#REF!,MATCH($H12,#REF!,0)),"")</f>
        <v/>
      </c>
      <c r="AB12" s="27" t="str">
        <f>IFERROR(INDEX(#REF!,MATCH($H12,#REF!,0)),"")</f>
        <v/>
      </c>
      <c r="AC12" s="63" t="str">
        <f>IFERROR(INDEX(#REF!,MATCH($H12,#REF!,0)),"")</f>
        <v/>
      </c>
      <c r="AD12" s="63" t="str">
        <f>IFERROR(INDEX(#REF!,MATCH($H12,#REF!,0)),"")</f>
        <v/>
      </c>
    </row>
    <row r="13" spans="1:30" ht="26.25" customHeight="1" x14ac:dyDescent="0.3">
      <c r="A13" s="27" t="str">
        <f>IFERROR(INDEX(#REF!,MATCH($H13,#REF!,0)),"")</f>
        <v/>
      </c>
      <c r="B13" s="27" t="str">
        <f>IFERROR(INDEX(#REF!,MATCH($H13,#REF!,0)),"")</f>
        <v/>
      </c>
      <c r="C13" s="48" t="str">
        <f>IFERROR(INDEX(#REF!,MATCH($H13,#REF!,0)),"")</f>
        <v/>
      </c>
      <c r="D13" s="27" t="str">
        <f>IFERROR(INDEX(#REF!,MATCH($H13,#REF!,0)),"")</f>
        <v/>
      </c>
      <c r="E13" s="84" t="str">
        <f>IFERROR(INDEX(#REF!,MATCH($H13,#REF!,0)),"")</f>
        <v/>
      </c>
      <c r="F13" s="84" t="str">
        <f>IFERROR(INDEX(#REF!,MATCH($H13,#REF!,0)),"")</f>
        <v/>
      </c>
      <c r="G13" s="30" t="str">
        <f>IFERROR(INDEX(#REF!,MATCH($H13,#REF!,0)),"")</f>
        <v/>
      </c>
      <c r="H13" s="34" t="s">
        <v>143</v>
      </c>
      <c r="I13" s="27" t="str">
        <f>IFERROR(INDEX(#REF!,MATCH($H13,#REF!,0)),"")</f>
        <v/>
      </c>
      <c r="J13" s="27" t="str">
        <f>IFERROR(INDEX(#REF!,MATCH($H13,#REF!,0)),"")</f>
        <v/>
      </c>
      <c r="K13" s="83" t="str">
        <f>IFERROR(INDEX(#REF!,MATCH($H13,#REF!,0)),"")</f>
        <v/>
      </c>
      <c r="L13" s="41">
        <f>S13</f>
        <v>44071</v>
      </c>
      <c r="M13" s="40"/>
      <c r="N13" s="39"/>
      <c r="O13" s="39"/>
      <c r="P13" s="39"/>
      <c r="Q13" s="39"/>
      <c r="R13" s="39"/>
      <c r="S13" s="72">
        <v>44071</v>
      </c>
      <c r="T13" s="51"/>
      <c r="U13" s="56" t="str">
        <f>IFERROR(INDEX(#REF!,MATCH($H13,#REF!,0)),"")</f>
        <v/>
      </c>
      <c r="V13" s="48" t="str">
        <f>IFERROR(INDEX(#REF!,MATCH($H13,#REF!,0)),"")</f>
        <v/>
      </c>
      <c r="W13" s="48" t="str">
        <f>IFERROR(INDEX(#REF!,MATCH($H13,#REF!,0)),"")</f>
        <v/>
      </c>
      <c r="X13" s="48" t="str">
        <f>IFERROR(INDEX(#REF!,MATCH($H13,#REF!,0)),"")</f>
        <v/>
      </c>
      <c r="Y13" s="48" t="str">
        <f>IFERROR(INDEX(#REF!,MATCH($H13,#REF!,0)),"")</f>
        <v/>
      </c>
      <c r="Z13" s="34"/>
      <c r="AA13" s="48" t="str">
        <f>IFERROR(INDEX(#REF!,MATCH($H13,#REF!,0)),"")</f>
        <v/>
      </c>
      <c r="AB13" s="27" t="str">
        <f>IFERROR(INDEX(#REF!,MATCH($H13,#REF!,0)),"")</f>
        <v/>
      </c>
      <c r="AC13" s="63" t="str">
        <f>IFERROR(INDEX(#REF!,MATCH($H13,#REF!,0)),"")</f>
        <v/>
      </c>
      <c r="AD13" s="63" t="str">
        <f>IFERROR(INDEX(#REF!,MATCH($H13,#REF!,0)),"")</f>
        <v/>
      </c>
    </row>
    <row r="14" spans="1:30" ht="26.25" customHeight="1" x14ac:dyDescent="0.3">
      <c r="A14" s="27" t="str">
        <f>IFERROR(INDEX(#REF!,MATCH($H14,#REF!,0)),"")</f>
        <v/>
      </c>
      <c r="B14" s="27" t="str">
        <f>IFERROR(INDEX(#REF!,MATCH($H14,#REF!,0)),"")</f>
        <v/>
      </c>
      <c r="C14" s="48" t="str">
        <f>IFERROR(INDEX(#REF!,MATCH($H14,#REF!,0)),"")</f>
        <v/>
      </c>
      <c r="D14" s="27" t="str">
        <f>IFERROR(INDEX(#REF!,MATCH($H14,#REF!,0)),"")</f>
        <v/>
      </c>
      <c r="E14" s="84" t="str">
        <f>IFERROR(INDEX(#REF!,MATCH($H14,#REF!,0)),"")</f>
        <v/>
      </c>
      <c r="F14" s="84" t="str">
        <f>IFERROR(INDEX(#REF!,MATCH($H14,#REF!,0)),"")</f>
        <v/>
      </c>
      <c r="G14" s="30" t="str">
        <f>IFERROR(INDEX(#REF!,MATCH($H14,#REF!,0)),"")</f>
        <v/>
      </c>
      <c r="H14" s="34" t="s">
        <v>144</v>
      </c>
      <c r="I14" s="27" t="str">
        <f>IFERROR(INDEX(#REF!,MATCH($H14,#REF!,0)),"")</f>
        <v/>
      </c>
      <c r="J14" s="27" t="str">
        <f>IFERROR(INDEX(#REF!,MATCH($H14,#REF!,0)),"")</f>
        <v/>
      </c>
      <c r="K14" s="83" t="str">
        <f>IFERROR(INDEX(#REF!,MATCH($H14,#REF!,0)),"")</f>
        <v/>
      </c>
      <c r="L14" s="41">
        <f>S14</f>
        <v>44064</v>
      </c>
      <c r="M14" s="40"/>
      <c r="N14" s="39"/>
      <c r="O14" s="40"/>
      <c r="P14" s="40"/>
      <c r="Q14" s="40"/>
      <c r="R14" s="40"/>
      <c r="S14" s="72">
        <v>44064</v>
      </c>
      <c r="T14" s="51" t="s">
        <v>145</v>
      </c>
      <c r="U14" s="56" t="str">
        <f>IFERROR(INDEX(#REF!,MATCH($H14,#REF!,0)),"")</f>
        <v/>
      </c>
      <c r="V14" s="48" t="str">
        <f>IFERROR(INDEX(#REF!,MATCH($H14,#REF!,0)),"")</f>
        <v/>
      </c>
      <c r="W14" s="48" t="str">
        <f>IFERROR(INDEX(#REF!,MATCH($H14,#REF!,0)),"")</f>
        <v/>
      </c>
      <c r="X14" s="48" t="str">
        <f>IFERROR(INDEX(#REF!,MATCH($H14,#REF!,0)),"")</f>
        <v/>
      </c>
      <c r="Y14" s="48" t="str">
        <f>IFERROR(INDEX(#REF!,MATCH($H14,#REF!,0)),"")</f>
        <v/>
      </c>
      <c r="Z14" s="34"/>
      <c r="AA14" s="48" t="str">
        <f>IFERROR(INDEX(#REF!,MATCH($H14,#REF!,0)),"")</f>
        <v/>
      </c>
      <c r="AB14" s="27" t="str">
        <f>IFERROR(INDEX(#REF!,MATCH($H14,#REF!,0)),"")</f>
        <v/>
      </c>
      <c r="AC14" s="63" t="str">
        <f>IFERROR(INDEX(#REF!,MATCH($H14,#REF!,0)),"")</f>
        <v/>
      </c>
      <c r="AD14" s="63" t="str">
        <f>IFERROR(INDEX(#REF!,MATCH($H14,#REF!,0)),"")</f>
        <v/>
      </c>
    </row>
    <row r="15" spans="1:30" ht="26.25" customHeight="1" x14ac:dyDescent="0.3">
      <c r="A15" s="27" t="str">
        <f>IFERROR(INDEX(#REF!,MATCH($H15,#REF!,0)),"")</f>
        <v/>
      </c>
      <c r="B15" s="27" t="str">
        <f>IFERROR(INDEX(#REF!,MATCH($H15,#REF!,0)),"")</f>
        <v/>
      </c>
      <c r="C15" s="48" t="str">
        <f>IFERROR(INDEX(#REF!,MATCH($H15,#REF!,0)),"")</f>
        <v/>
      </c>
      <c r="D15" s="27" t="str">
        <f>IFERROR(INDEX(#REF!,MATCH($H15,#REF!,0)),"")</f>
        <v/>
      </c>
      <c r="E15" s="84" t="str">
        <f>IFERROR(INDEX(#REF!,MATCH($H15,#REF!,0)),"")</f>
        <v/>
      </c>
      <c r="F15" s="84" t="str">
        <f>IFERROR(INDEX(#REF!,MATCH($H15,#REF!,0)),"")</f>
        <v/>
      </c>
      <c r="G15" s="30" t="str">
        <f>IFERROR(INDEX(#REF!,MATCH($H15,#REF!,0)),"")</f>
        <v/>
      </c>
      <c r="H15" s="51" t="s">
        <v>146</v>
      </c>
      <c r="I15" s="27" t="str">
        <f>IFERROR(INDEX(#REF!,MATCH($H15,#REF!,0)),"")</f>
        <v/>
      </c>
      <c r="J15" s="27" t="str">
        <f>IFERROR(INDEX(#REF!,MATCH($H15,#REF!,0)),"")</f>
        <v/>
      </c>
      <c r="K15" s="83" t="str">
        <f>IFERROR(INDEX(#REF!,MATCH($H15,#REF!,0)),"")</f>
        <v/>
      </c>
      <c r="L15" s="41">
        <f>S15</f>
        <v>44084</v>
      </c>
      <c r="M15" s="40"/>
      <c r="N15" s="39"/>
      <c r="O15" s="67"/>
      <c r="P15" s="39"/>
      <c r="Q15" s="39"/>
      <c r="R15" s="39"/>
      <c r="S15" s="72">
        <v>44084</v>
      </c>
      <c r="T15" s="51" t="s">
        <v>147</v>
      </c>
      <c r="U15" s="56" t="str">
        <f>IFERROR(INDEX(#REF!,MATCH($H15,#REF!,0)),"")</f>
        <v/>
      </c>
      <c r="V15" s="48" t="str">
        <f>IFERROR(INDEX(#REF!,MATCH($H15,#REF!,0)),"")</f>
        <v/>
      </c>
      <c r="W15" s="48" t="str">
        <f>IFERROR(INDEX(#REF!,MATCH($H15,#REF!,0)),"")</f>
        <v/>
      </c>
      <c r="X15" s="48" t="str">
        <f>IFERROR(INDEX(#REF!,MATCH($H15,#REF!,0)),"")</f>
        <v/>
      </c>
      <c r="Y15" s="48" t="str">
        <f>IFERROR(INDEX(#REF!,MATCH($H15,#REF!,0)),"")</f>
        <v/>
      </c>
      <c r="Z15" s="34"/>
      <c r="AA15" s="48" t="str">
        <f>IFERROR(INDEX(#REF!,MATCH($H15,#REF!,0)),"")</f>
        <v/>
      </c>
      <c r="AB15" s="27" t="str">
        <f>IFERROR(INDEX(#REF!,MATCH($H15,#REF!,0)),"")</f>
        <v/>
      </c>
      <c r="AC15" s="63" t="str">
        <f>IFERROR(INDEX(#REF!,MATCH($H15,#REF!,0)),"")</f>
        <v/>
      </c>
      <c r="AD15" s="63" t="str">
        <f>IFERROR(INDEX(#REF!,MATCH($H15,#REF!,0)),"")</f>
        <v/>
      </c>
    </row>
    <row r="16" spans="1:30" ht="26.25" customHeight="1" x14ac:dyDescent="0.3">
      <c r="A16" s="27" t="str">
        <f>IFERROR(INDEX(#REF!,MATCH($H16,#REF!,0)),"")</f>
        <v/>
      </c>
      <c r="B16" s="27" t="str">
        <f>IFERROR(INDEX(#REF!,MATCH($H16,#REF!,0)),"")</f>
        <v/>
      </c>
      <c r="C16" s="48" t="str">
        <f>IFERROR(INDEX(#REF!,MATCH($H16,#REF!,0)),"")</f>
        <v/>
      </c>
      <c r="D16" s="27" t="str">
        <f>IFERROR(INDEX(#REF!,MATCH($H16,#REF!,0)),"")</f>
        <v/>
      </c>
      <c r="E16" s="84" t="str">
        <f>IFERROR(INDEX(#REF!,MATCH($H16,#REF!,0)),"")</f>
        <v/>
      </c>
      <c r="F16" s="84" t="str">
        <f>IFERROR(INDEX(#REF!,MATCH($H16,#REF!,0)),"")</f>
        <v/>
      </c>
      <c r="G16" s="30" t="str">
        <f>IFERROR(INDEX(#REF!,MATCH($H16,#REF!,0)),"")</f>
        <v/>
      </c>
      <c r="H16" s="51" t="s">
        <v>148</v>
      </c>
      <c r="I16" s="27" t="str">
        <f>IFERROR(INDEX(#REF!,MATCH($H16,#REF!,0)),"")</f>
        <v/>
      </c>
      <c r="J16" s="27" t="str">
        <f>IFERROR(INDEX(#REF!,MATCH($H16,#REF!,0)),"")</f>
        <v/>
      </c>
      <c r="K16" s="83" t="str">
        <f>IFERROR(INDEX(#REF!,MATCH($H16,#REF!,0)),"")</f>
        <v/>
      </c>
      <c r="L16" s="41">
        <f>S16</f>
        <v>44092</v>
      </c>
      <c r="M16" s="40"/>
      <c r="N16" s="40"/>
      <c r="O16" s="40"/>
      <c r="P16" s="40"/>
      <c r="Q16" s="40"/>
      <c r="R16" s="40"/>
      <c r="S16" s="73">
        <v>44092</v>
      </c>
      <c r="T16" s="51" t="s">
        <v>149</v>
      </c>
      <c r="U16" s="56" t="str">
        <f>IFERROR(INDEX(#REF!,MATCH($H16,#REF!,0)),"")</f>
        <v/>
      </c>
      <c r="V16" s="48" t="str">
        <f>IFERROR(INDEX(#REF!,MATCH($H16,#REF!,0)),"")</f>
        <v/>
      </c>
      <c r="W16" s="48" t="str">
        <f>IFERROR(INDEX(#REF!,MATCH($H16,#REF!,0)),"")</f>
        <v/>
      </c>
      <c r="X16" s="48" t="str">
        <f>IFERROR(INDEX(#REF!,MATCH($H16,#REF!,0)),"")</f>
        <v/>
      </c>
      <c r="Y16" s="48" t="str">
        <f>IFERROR(INDEX(#REF!,MATCH($H16,#REF!,0)),"")</f>
        <v/>
      </c>
      <c r="Z16" s="34"/>
      <c r="AA16" s="48" t="str">
        <f>IFERROR(INDEX(#REF!,MATCH($H16,#REF!,0)),"")</f>
        <v/>
      </c>
      <c r="AB16" s="27" t="str">
        <f>IFERROR(INDEX(#REF!,MATCH($H16,#REF!,0)),"")</f>
        <v/>
      </c>
      <c r="AC16" s="63" t="str">
        <f>IFERROR(INDEX(#REF!,MATCH($H16,#REF!,0)),"")</f>
        <v/>
      </c>
      <c r="AD16" s="63" t="str">
        <f>IFERROR(INDEX(#REF!,MATCH($H16,#REF!,0)),"")</f>
        <v/>
      </c>
    </row>
    <row r="17" spans="1:30" ht="26.25" customHeight="1" x14ac:dyDescent="0.3">
      <c r="A17" s="27" t="str">
        <f>IFERROR(INDEX(#REF!,MATCH($H17,#REF!,0)),"")</f>
        <v/>
      </c>
      <c r="B17" s="27" t="str">
        <f>IFERROR(INDEX(#REF!,MATCH($H17,#REF!,0)),"")</f>
        <v/>
      </c>
      <c r="C17" s="48" t="str">
        <f>IFERROR(INDEX(#REF!,MATCH($H17,#REF!,0)),"")</f>
        <v/>
      </c>
      <c r="D17" s="27" t="str">
        <f>IFERROR(INDEX(#REF!,MATCH($H17,#REF!,0)),"")</f>
        <v/>
      </c>
      <c r="E17" s="84" t="str">
        <f>IFERROR(INDEX(#REF!,MATCH($H17,#REF!,0)),"")</f>
        <v/>
      </c>
      <c r="F17" s="84" t="str">
        <f>IFERROR(INDEX(#REF!,MATCH($H17,#REF!,0)),"")</f>
        <v/>
      </c>
      <c r="G17" s="30" t="str">
        <f>IFERROR(INDEX(#REF!,MATCH($H17,#REF!,0)),"")</f>
        <v/>
      </c>
      <c r="H17" s="51" t="s">
        <v>150</v>
      </c>
      <c r="I17" s="27" t="str">
        <f>IFERROR(INDEX(#REF!,MATCH($H17,#REF!,0)),"")</f>
        <v/>
      </c>
      <c r="J17" s="27" t="str">
        <f>IFERROR(INDEX(#REF!,MATCH($H17,#REF!,0)),"")</f>
        <v/>
      </c>
      <c r="K17" s="83" t="str">
        <f>IFERROR(INDEX(#REF!,MATCH($H17,#REF!,0)),"")</f>
        <v/>
      </c>
      <c r="L17" s="41">
        <f>S17</f>
        <v>44071</v>
      </c>
      <c r="M17" s="40"/>
      <c r="N17" s="39"/>
      <c r="O17" s="40"/>
      <c r="P17" s="40"/>
      <c r="Q17" s="40"/>
      <c r="R17" s="40"/>
      <c r="S17" s="72">
        <v>44071</v>
      </c>
      <c r="T17" s="51" t="s">
        <v>151</v>
      </c>
      <c r="U17" s="56" t="str">
        <f>IFERROR(INDEX(#REF!,MATCH($H17,#REF!,0)),"")</f>
        <v/>
      </c>
      <c r="V17" s="48" t="str">
        <f>IFERROR(INDEX(#REF!,MATCH($H17,#REF!,0)),"")</f>
        <v/>
      </c>
      <c r="W17" s="48" t="str">
        <f>IFERROR(INDEX(#REF!,MATCH($H17,#REF!,0)),"")</f>
        <v/>
      </c>
      <c r="X17" s="48" t="str">
        <f>IFERROR(INDEX(#REF!,MATCH($H17,#REF!,0)),"")</f>
        <v/>
      </c>
      <c r="Y17" s="48" t="str">
        <f>IFERROR(INDEX(#REF!,MATCH($H17,#REF!,0)),"")</f>
        <v/>
      </c>
      <c r="Z17" s="34"/>
      <c r="AA17" s="48" t="str">
        <f>IFERROR(INDEX(#REF!,MATCH($H17,#REF!,0)),"")</f>
        <v/>
      </c>
      <c r="AB17" s="27" t="str">
        <f>IFERROR(INDEX(#REF!,MATCH($H17,#REF!,0)),"")</f>
        <v/>
      </c>
      <c r="AC17" s="63" t="str">
        <f>IFERROR(INDEX(#REF!,MATCH($H17,#REF!,0)),"")</f>
        <v/>
      </c>
      <c r="AD17" s="63" t="str">
        <f>IFERROR(INDEX(#REF!,MATCH($H17,#REF!,0)),"")</f>
        <v/>
      </c>
    </row>
    <row r="18" spans="1:30" ht="26.25" customHeight="1" x14ac:dyDescent="0.3">
      <c r="A18" s="27" t="str">
        <f>IFERROR(INDEX(#REF!,MATCH($H18,#REF!,0)),"")</f>
        <v/>
      </c>
      <c r="B18" s="27" t="str">
        <f>IFERROR(INDEX(#REF!,MATCH($H18,#REF!,0)),"")</f>
        <v/>
      </c>
      <c r="C18" s="48" t="str">
        <f>IFERROR(INDEX(#REF!,MATCH($H18,#REF!,0)),"")</f>
        <v/>
      </c>
      <c r="D18" s="27" t="str">
        <f>IFERROR(INDEX(#REF!,MATCH($H18,#REF!,0)),"")</f>
        <v/>
      </c>
      <c r="E18" s="84" t="str">
        <f>IFERROR(INDEX(#REF!,MATCH($H18,#REF!,0)),"")</f>
        <v/>
      </c>
      <c r="F18" s="84" t="str">
        <f>IFERROR(INDEX(#REF!,MATCH($H18,#REF!,0)),"")</f>
        <v/>
      </c>
      <c r="G18" s="30" t="str">
        <f>IFERROR(INDEX(#REF!,MATCH($H18,#REF!,0)),"")</f>
        <v/>
      </c>
      <c r="H18" s="34" t="s">
        <v>152</v>
      </c>
      <c r="I18" s="27" t="str">
        <f>IFERROR(INDEX(#REF!,MATCH($H18,#REF!,0)),"")</f>
        <v/>
      </c>
      <c r="J18" s="27" t="str">
        <f>IFERROR(INDEX(#REF!,MATCH($H18,#REF!,0)),"")</f>
        <v/>
      </c>
      <c r="K18" s="83" t="str">
        <f>IFERROR(INDEX(#REF!,MATCH($H18,#REF!,0)),"")</f>
        <v/>
      </c>
      <c r="L18" s="41">
        <v>44077</v>
      </c>
      <c r="M18" s="40"/>
      <c r="N18" s="40"/>
      <c r="O18" s="40"/>
      <c r="P18" s="40"/>
      <c r="Q18" s="40"/>
      <c r="R18" s="40"/>
      <c r="S18" s="72">
        <v>44077</v>
      </c>
      <c r="T18" s="51" t="s">
        <v>153</v>
      </c>
      <c r="U18" s="56" t="str">
        <f>IFERROR(INDEX(#REF!,MATCH($H18,#REF!,0)),"")</f>
        <v/>
      </c>
      <c r="V18" s="48" t="str">
        <f>IFERROR(INDEX(#REF!,MATCH($H18,#REF!,0)),"")</f>
        <v/>
      </c>
      <c r="W18" s="48" t="str">
        <f>IFERROR(INDEX(#REF!,MATCH($H18,#REF!,0)),"")</f>
        <v/>
      </c>
      <c r="X18" s="48" t="str">
        <f>IFERROR(INDEX(#REF!,MATCH($H18,#REF!,0)),"")</f>
        <v/>
      </c>
      <c r="Y18" s="48" t="str">
        <f>IFERROR(INDEX(#REF!,MATCH($H18,#REF!,0)),"")</f>
        <v/>
      </c>
      <c r="Z18" s="34"/>
      <c r="AA18" s="48" t="str">
        <f>IFERROR(INDEX(#REF!,MATCH($H18,#REF!,0)),"")</f>
        <v/>
      </c>
      <c r="AB18" s="27" t="str">
        <f>IFERROR(INDEX(#REF!,MATCH($H18,#REF!,0)),"")</f>
        <v/>
      </c>
      <c r="AC18" s="63" t="str">
        <f>IFERROR(INDEX(#REF!,MATCH($H18,#REF!,0)),"")</f>
        <v/>
      </c>
      <c r="AD18" s="63" t="str">
        <f>IFERROR(INDEX(#REF!,MATCH($H18,#REF!,0)),"")</f>
        <v/>
      </c>
    </row>
    <row r="19" spans="1:30" ht="26.25" customHeight="1" x14ac:dyDescent="0.3">
      <c r="A19" s="27" t="str">
        <f>IFERROR(INDEX(#REF!,MATCH($H19,#REF!,0)),"")</f>
        <v/>
      </c>
      <c r="B19" s="27" t="str">
        <f>IFERROR(INDEX(#REF!,MATCH($H19,#REF!,0)),"")</f>
        <v/>
      </c>
      <c r="C19" s="48" t="str">
        <f>IFERROR(INDEX(#REF!,MATCH($H19,#REF!,0)),"")</f>
        <v/>
      </c>
      <c r="D19" s="27" t="str">
        <f>IFERROR(INDEX(#REF!,MATCH($H19,#REF!,0)),"")</f>
        <v/>
      </c>
      <c r="E19" s="84" t="str">
        <f>IFERROR(INDEX(#REF!,MATCH($H19,#REF!,0)),"")</f>
        <v/>
      </c>
      <c r="F19" s="84" t="str">
        <f>IFERROR(INDEX(#REF!,MATCH($H19,#REF!,0)),"")</f>
        <v/>
      </c>
      <c r="G19" s="30" t="str">
        <f>IFERROR(INDEX(#REF!,MATCH($H19,#REF!,0)),"")</f>
        <v/>
      </c>
      <c r="H19" s="34" t="s">
        <v>154</v>
      </c>
      <c r="I19" s="27" t="str">
        <f>IFERROR(INDEX(#REF!,MATCH($H19,#REF!,0)),"")</f>
        <v/>
      </c>
      <c r="J19" s="27" t="str">
        <f>IFERROR(INDEX(#REF!,MATCH($H19,#REF!,0)),"")</f>
        <v/>
      </c>
      <c r="K19" s="83" t="str">
        <f>IFERROR(INDEX(#REF!,MATCH($H19,#REF!,0)),"")</f>
        <v/>
      </c>
      <c r="L19" s="39"/>
      <c r="M19" s="40"/>
      <c r="N19" s="39"/>
      <c r="O19" s="39"/>
      <c r="P19" s="39"/>
      <c r="Q19" s="39"/>
      <c r="R19" s="39"/>
      <c r="S19" s="42">
        <v>44154</v>
      </c>
      <c r="T19" s="51" t="s">
        <v>155</v>
      </c>
      <c r="U19" s="56" t="str">
        <f>IFERROR(INDEX(#REF!,MATCH($H19,#REF!,0)),"")</f>
        <v/>
      </c>
      <c r="V19" s="48" t="str">
        <f>IFERROR(INDEX(#REF!,MATCH($H19,#REF!,0)),"")</f>
        <v/>
      </c>
      <c r="W19" s="48" t="str">
        <f>IFERROR(INDEX(#REF!,MATCH($H19,#REF!,0)),"")</f>
        <v/>
      </c>
      <c r="X19" s="48" t="str">
        <f>IFERROR(INDEX(#REF!,MATCH($H19,#REF!,0)),"")</f>
        <v/>
      </c>
      <c r="Y19" s="48" t="str">
        <f>IFERROR(INDEX(#REF!,MATCH($H19,#REF!,0)),"")</f>
        <v/>
      </c>
      <c r="Z19" s="34"/>
      <c r="AA19" s="48" t="str">
        <f>IFERROR(INDEX(#REF!,MATCH($H19,#REF!,0)),"")</f>
        <v/>
      </c>
      <c r="AB19" s="27" t="str">
        <f>IFERROR(INDEX(#REF!,MATCH($H19,#REF!,0)),"")</f>
        <v/>
      </c>
      <c r="AC19" s="63" t="str">
        <f>IFERROR(INDEX(#REF!,MATCH($H19,#REF!,0)),"")</f>
        <v/>
      </c>
      <c r="AD19" s="63" t="str">
        <f>IFERROR(INDEX(#REF!,MATCH($H19,#REF!,0)),"")</f>
        <v/>
      </c>
    </row>
    <row r="20" spans="1:30" ht="26.25" customHeight="1" x14ac:dyDescent="0.3">
      <c r="J20" s="28"/>
      <c r="K20" s="49"/>
      <c r="L20" s="35"/>
      <c r="M20" s="44">
        <f>SUM(COUNTIF(M2:M19,"contingency"),COUNTIF(M2:M19,"x"),COUNTIF(M2:M19,"Unit"),COUNTIF(M2:M19,"Support"))</f>
        <v>0</v>
      </c>
      <c r="N20" s="44">
        <f>SUM(COUNTIF(N2:N19,"contingency"),COUNTIF(N2:N19,"x"),COUNTIF(N2:N19,"Unit"))</f>
        <v>0</v>
      </c>
      <c r="O20" s="44">
        <f>SUM(COUNTIF(O2:O19,"contingency"),COUNTIF(O2:O19,"x"),COUNTIF(O2:O19,"Unit"),COUNTIF(O2:O19,"Support"))</f>
        <v>0</v>
      </c>
      <c r="P20" s="44">
        <f>SUM(COUNTIF(P2:P19,"contingency"),COUNTIF(P2:P19,"x"),COUNTIF(P2:P19,"Unit"),COUNTIF(P2:P19,"Support"))</f>
        <v>0</v>
      </c>
      <c r="Q20" s="44">
        <f>SUM(COUNTIF(Q2:Q19,"contingency"),COUNTIF(Q2:Q19,"x"),COUNTIF(Q2:Q19,"Unit"),COUNTIF(Q2:Q19,"Support"))</f>
        <v>0</v>
      </c>
      <c r="R20" s="44">
        <f>SUM(COUNTIF(R2:R19,"contingency"),COUNTIF(R2:R19,"x"),COUNTIF(R2:R19,"Unit"),COUNTIF(R2:R19,"Support"))</f>
        <v>0</v>
      </c>
      <c r="S20" s="44">
        <f>COUNTA(S2:S19)</f>
        <v>18</v>
      </c>
    </row>
    <row r="21" spans="1:30" ht="26.25" hidden="1" customHeight="1" x14ac:dyDescent="0.3">
      <c r="A21" s="29"/>
      <c r="B21" s="29"/>
      <c r="C21" s="59"/>
      <c r="D21" s="29"/>
      <c r="E21" s="87"/>
      <c r="F21" s="87"/>
      <c r="G21" s="32"/>
      <c r="H21" s="53" t="s">
        <v>167</v>
      </c>
      <c r="I21" s="29"/>
      <c r="J21" s="29"/>
      <c r="K21" s="50"/>
      <c r="L21" s="36"/>
      <c r="M21" s="45"/>
      <c r="N21" s="45"/>
      <c r="O21" s="45"/>
      <c r="P21" s="45"/>
      <c r="Q21" s="45"/>
      <c r="R21" s="45"/>
      <c r="S21" s="46"/>
      <c r="T21" s="59"/>
      <c r="U21" s="58"/>
      <c r="V21" s="50"/>
      <c r="W21" s="50"/>
      <c r="X21" s="50"/>
      <c r="Y21" s="50"/>
      <c r="Z21" s="36"/>
      <c r="AA21" s="50"/>
      <c r="AB21" s="29"/>
      <c r="AC21" s="66"/>
      <c r="AD21" s="66"/>
    </row>
    <row r="22" spans="1:30" ht="26.25" hidden="1" customHeight="1" x14ac:dyDescent="0.3">
      <c r="A22" s="29"/>
      <c r="B22" s="29"/>
      <c r="C22" s="59"/>
      <c r="D22" s="29"/>
      <c r="E22" s="87"/>
      <c r="F22" s="87"/>
      <c r="G22" s="32"/>
      <c r="H22" s="54" t="s">
        <v>168</v>
      </c>
      <c r="I22" s="29"/>
      <c r="J22" s="29"/>
      <c r="K22" s="50"/>
      <c r="L22" s="36"/>
      <c r="M22" s="45"/>
      <c r="N22" s="45"/>
      <c r="O22" s="45"/>
      <c r="P22" s="45"/>
      <c r="Q22" s="45"/>
      <c r="R22" s="45"/>
      <c r="S22" s="46"/>
      <c r="T22" s="59"/>
      <c r="U22" s="58"/>
      <c r="V22" s="50"/>
      <c r="W22" s="50"/>
      <c r="X22" s="50"/>
      <c r="Y22" s="50"/>
      <c r="Z22" s="36"/>
      <c r="AA22" s="50"/>
      <c r="AB22" s="29"/>
    </row>
    <row r="23" spans="1:30" ht="26.25" hidden="1" customHeight="1" x14ac:dyDescent="0.3">
      <c r="A23" s="29"/>
      <c r="B23" s="29"/>
      <c r="C23" s="59"/>
      <c r="D23" s="29"/>
      <c r="E23" s="87"/>
      <c r="F23" s="87"/>
      <c r="G23" s="32"/>
      <c r="H23" s="55" t="s">
        <v>169</v>
      </c>
      <c r="I23" s="29"/>
      <c r="J23" s="29"/>
      <c r="K23" s="50"/>
      <c r="L23" s="36"/>
      <c r="M23" s="45"/>
      <c r="N23" s="45"/>
      <c r="O23" s="45"/>
      <c r="P23" s="45"/>
      <c r="Q23" s="45"/>
      <c r="R23" s="45"/>
      <c r="S23" s="46"/>
      <c r="T23" s="59"/>
      <c r="U23" s="58"/>
      <c r="V23" s="50"/>
      <c r="W23" s="50"/>
      <c r="X23" s="50"/>
      <c r="Y23" s="50"/>
      <c r="Z23" s="36"/>
      <c r="AA23" s="50"/>
      <c r="AB23" s="29"/>
    </row>
    <row r="24" spans="1:30" ht="27.75" hidden="1" customHeight="1" x14ac:dyDescent="0.3">
      <c r="A24" s="29"/>
      <c r="B24" s="29"/>
      <c r="C24" s="59"/>
      <c r="D24" s="29"/>
      <c r="E24" s="87"/>
      <c r="F24" s="87"/>
      <c r="G24" s="32"/>
      <c r="H24" s="71" t="s">
        <v>170</v>
      </c>
      <c r="I24" s="29"/>
      <c r="J24" s="29"/>
      <c r="K24" s="50"/>
      <c r="L24" s="36"/>
      <c r="M24" s="45"/>
      <c r="N24" s="45"/>
      <c r="O24" s="45"/>
      <c r="P24" s="45"/>
      <c r="Q24" s="45"/>
      <c r="R24" s="45"/>
      <c r="S24" s="46"/>
      <c r="T24" s="59"/>
      <c r="U24" s="58"/>
      <c r="V24" s="50"/>
      <c r="W24" s="50"/>
      <c r="X24" s="50"/>
      <c r="Y24" s="50"/>
      <c r="Z24" s="36"/>
      <c r="AA24" s="50"/>
      <c r="AB24" s="29"/>
    </row>
    <row r="25" spans="1:30" ht="26.25" hidden="1" customHeight="1" x14ac:dyDescent="0.3">
      <c r="H25" s="52" t="s">
        <v>171</v>
      </c>
      <c r="I25" s="70" t="e">
        <f>#REF!</f>
        <v>#REF!</v>
      </c>
    </row>
  </sheetData>
  <sheetProtection sort="0" autoFilter="0"/>
  <protectedRanges>
    <protectedRange algorithmName="SHA-512" hashValue="OIB52fPAuSRW6JDlQnnyr8KX2vAfqUdy2L68GV5I7/SIYoxDt37qXUp8+aMkXIHA1G7TWna3EPOhSbNuKY0wGw==" saltValue="znND/Pc4Xzvm0rt9tokmuw==" spinCount="100000" sqref="A1:U1 A20:XFD1048576 A2:V19 W1:XFD19" name="In Scope Apps"/>
    <protectedRange algorithmName="SHA-512" hashValue="OIB52fPAuSRW6JDlQnnyr8KX2vAfqUdy2L68GV5I7/SIYoxDt37qXUp8+aMkXIHA1G7TWna3EPOhSbNuKY0wGw==" saltValue="znND/Pc4Xzvm0rt9tokmuw==" spinCount="100000" sqref="V1" name="In Scope Apps_2"/>
  </protectedRanges>
  <autoFilter ref="A1:AD25" xr:uid="{00000000-0009-0000-0000-000002000000}">
    <filterColumn colId="18">
      <customFilters>
        <customFilter operator="notEqual" val=" "/>
      </customFilters>
    </filterColumn>
  </autoFilter>
  <sortState xmlns:xlrd2="http://schemas.microsoft.com/office/spreadsheetml/2017/richdata2" ref="A2:AD19">
    <sortCondition ref="H2:H19"/>
  </sortState>
  <customSheetViews>
    <customSheetView guid="{B1D8F901-FC69-4993-BE16-C86A3096BF44}" scale="90" showAutoFilter="1" topLeftCell="C1">
      <pane ySplit="1" topLeftCell="A108" activePane="bottomLeft" state="frozen"/>
      <selection pane="bottomLeft" activeCell="F116" sqref="F116"/>
      <pageMargins left="0" right="0" top="0" bottom="0" header="0" footer="0"/>
      <pageSetup orientation="portrait" horizontalDpi="300" verticalDpi="300" r:id="rId1"/>
      <headerFooter alignWithMargins="0"/>
      <autoFilter ref="A1:Z970" xr:uid="{00000000-0000-0000-0000-000000000000}"/>
    </customSheetView>
  </customSheetViews>
  <conditionalFormatting sqref="M1:S1048576">
    <cfRule type="containsText" dxfId="56" priority="2950" operator="containsText" text="Unit">
      <formula>NOT(ISERROR(SEARCH("Unit",M1)))</formula>
    </cfRule>
    <cfRule type="containsText" dxfId="55" priority="2951" operator="containsText" text="contingency">
      <formula>NOT(ISERROR(SEARCH("contingency",M1)))</formula>
    </cfRule>
    <cfRule type="beginsWith" dxfId="54" priority="2952" operator="beginsWith" text="X">
      <formula>LEFT(M1,LEN("X"))="X"</formula>
    </cfRule>
  </conditionalFormatting>
  <conditionalFormatting sqref="L1:S1048576">
    <cfRule type="expression" dxfId="53" priority="2969">
      <formula>ISNUMBER(SEARCH("N", $Z1))</formula>
    </cfRule>
  </conditionalFormatting>
  <conditionalFormatting sqref="H29:H1048576">
    <cfRule type="expression" dxfId="52" priority="3047">
      <formula>ISNUMBER(SEARCH("ITRSK", $V31))</formula>
    </cfRule>
    <cfRule type="expression" dxfId="51" priority="3048">
      <formula>ISNUMBER(SEARCH("Undefined", $D31))</formula>
    </cfRule>
    <cfRule type="expression" dxfId="50" priority="3049">
      <formula>ISNUMBER(SEARCH("9Z", $D31))</formula>
    </cfRule>
    <cfRule type="expression" dxfId="49" priority="3050">
      <formula>ISNUMBER(SEARCH("5*", $D31))</formula>
    </cfRule>
    <cfRule type="expression" dxfId="48" priority="3051">
      <formula>ISNUMBER(SEARCH("N", $Y31))</formula>
    </cfRule>
  </conditionalFormatting>
  <conditionalFormatting sqref="L2">
    <cfRule type="containsText" dxfId="47" priority="1738" operator="containsText" text="Unit">
      <formula>NOT(ISERROR(SEARCH("Unit",L2)))</formula>
    </cfRule>
    <cfRule type="containsText" dxfId="46" priority="1739" operator="containsText" text="contingency">
      <formula>NOT(ISERROR(SEARCH("contingency",L2)))</formula>
    </cfRule>
    <cfRule type="beginsWith" dxfId="45" priority="1740" operator="beginsWith" text="X">
      <formula>LEFT(L2,LEN("X"))="X"</formula>
    </cfRule>
  </conditionalFormatting>
  <conditionalFormatting sqref="L10">
    <cfRule type="containsText" dxfId="44" priority="1723" operator="containsText" text="Unit">
      <formula>NOT(ISERROR(SEARCH("Unit",L10)))</formula>
    </cfRule>
    <cfRule type="containsText" dxfId="43" priority="1724" operator="containsText" text="contingency">
      <formula>NOT(ISERROR(SEARCH("contingency",L10)))</formula>
    </cfRule>
    <cfRule type="beginsWith" dxfId="42" priority="1725" operator="beginsWith" text="X">
      <formula>LEFT(L10,LEN("X"))="X"</formula>
    </cfRule>
  </conditionalFormatting>
  <conditionalFormatting sqref="L13">
    <cfRule type="containsText" dxfId="41" priority="1711" operator="containsText" text="Unit">
      <formula>NOT(ISERROR(SEARCH("Unit",L13)))</formula>
    </cfRule>
    <cfRule type="containsText" dxfId="40" priority="1712" operator="containsText" text="contingency">
      <formula>NOT(ISERROR(SEARCH("contingency",L13)))</formula>
    </cfRule>
    <cfRule type="beginsWith" dxfId="39" priority="1713" operator="beginsWith" text="X">
      <formula>LEFT(L13,LEN("X"))="X"</formula>
    </cfRule>
  </conditionalFormatting>
  <conditionalFormatting sqref="L15">
    <cfRule type="containsText" dxfId="38" priority="1702" operator="containsText" text="Unit">
      <formula>NOT(ISERROR(SEARCH("Unit",L15)))</formula>
    </cfRule>
    <cfRule type="containsText" dxfId="37" priority="1703" operator="containsText" text="contingency">
      <formula>NOT(ISERROR(SEARCH("contingency",L15)))</formula>
    </cfRule>
    <cfRule type="beginsWith" dxfId="36" priority="1704" operator="beginsWith" text="X">
      <formula>LEFT(L15,LEN("X"))="X"</formula>
    </cfRule>
  </conditionalFormatting>
  <conditionalFormatting sqref="L16">
    <cfRule type="containsText" dxfId="35" priority="1699" operator="containsText" text="Unit">
      <formula>NOT(ISERROR(SEARCH("Unit",L16)))</formula>
    </cfRule>
    <cfRule type="containsText" dxfId="34" priority="1700" operator="containsText" text="contingency">
      <formula>NOT(ISERROR(SEARCH("contingency",L16)))</formula>
    </cfRule>
    <cfRule type="beginsWith" dxfId="33" priority="1701" operator="beginsWith" text="X">
      <formula>LEFT(L16,LEN("X"))="X"</formula>
    </cfRule>
  </conditionalFormatting>
  <conditionalFormatting sqref="L17">
    <cfRule type="containsText" dxfId="32" priority="1690" operator="containsText" text="Unit">
      <formula>NOT(ISERROR(SEARCH("Unit",L17)))</formula>
    </cfRule>
    <cfRule type="containsText" dxfId="31" priority="1691" operator="containsText" text="contingency">
      <formula>NOT(ISERROR(SEARCH("contingency",L17)))</formula>
    </cfRule>
    <cfRule type="beginsWith" dxfId="30" priority="1692" operator="beginsWith" text="X">
      <formula>LEFT(L17,LEN("X"))="X"</formula>
    </cfRule>
  </conditionalFormatting>
  <conditionalFormatting sqref="L12 L4">
    <cfRule type="containsText" dxfId="29" priority="1396" operator="containsText" text="Unit">
      <formula>NOT(ISERROR(SEARCH("Unit",L4)))</formula>
    </cfRule>
    <cfRule type="containsText" dxfId="28" priority="1397" operator="containsText" text="contingency">
      <formula>NOT(ISERROR(SEARCH("contingency",L4)))</formula>
    </cfRule>
    <cfRule type="beginsWith" dxfId="27" priority="1398" operator="beginsWith" text="X">
      <formula>LEFT(L4,LEN("X"))="X"</formula>
    </cfRule>
  </conditionalFormatting>
  <conditionalFormatting sqref="H24">
    <cfRule type="containsText" dxfId="26" priority="914" operator="containsText" text="Unit">
      <formula>NOT(ISERROR(SEARCH("Unit",H24)))</formula>
    </cfRule>
    <cfRule type="containsText" dxfId="25" priority="915" operator="containsText" text="contingency">
      <formula>NOT(ISERROR(SEARCH("contingency",H24)))</formula>
    </cfRule>
    <cfRule type="beginsWith" dxfId="24" priority="916" operator="beginsWith" text="X">
      <formula>LEFT(H24,LEN("X"))="X"</formula>
    </cfRule>
  </conditionalFormatting>
  <conditionalFormatting sqref="H24">
    <cfRule type="expression" dxfId="23" priority="917">
      <formula>ISNUMBER(SEARCH("N", $Z24))</formula>
    </cfRule>
  </conditionalFormatting>
  <conditionalFormatting sqref="L11">
    <cfRule type="containsText" dxfId="22" priority="640" operator="containsText" text="Unit">
      <formula>NOT(ISERROR(SEARCH("Unit",L11)))</formula>
    </cfRule>
    <cfRule type="containsText" dxfId="21" priority="641" operator="containsText" text="contingency">
      <formula>NOT(ISERROR(SEARCH("contingency",L11)))</formula>
    </cfRule>
    <cfRule type="beginsWith" dxfId="20" priority="642" operator="beginsWith" text="X">
      <formula>LEFT(L11,LEN("X"))="X"</formula>
    </cfRule>
  </conditionalFormatting>
  <conditionalFormatting sqref="C21 H25 H1:H23">
    <cfRule type="expression" dxfId="19" priority="4822">
      <formula>ISNUMBER(SEARCH("ITRSK", $U1))</formula>
    </cfRule>
    <cfRule type="expression" dxfId="18" priority="4823">
      <formula>ISNUMBER(SEARCH("Undefined", $D1))</formula>
    </cfRule>
    <cfRule type="expression" dxfId="17" priority="4824">
      <formula>ISNUMBER(SEARCH("9Z", $D1))</formula>
    </cfRule>
    <cfRule type="expression" dxfId="16" priority="4825">
      <formula>ISNUMBER(SEARCH("5*", $D1))</formula>
    </cfRule>
    <cfRule type="expression" dxfId="15" priority="4826">
      <formula>ISNUMBER(SEARCH("N", $Z1))</formula>
    </cfRule>
  </conditionalFormatting>
  <conditionalFormatting sqref="H26 H28">
    <cfRule type="expression" dxfId="14" priority="4862">
      <formula>ISNUMBER(SEARCH("ITRSK", $U28))</formula>
    </cfRule>
    <cfRule type="expression" dxfId="13" priority="4863">
      <formula>ISNUMBER(SEARCH("Undefined", $D28))</formula>
    </cfRule>
    <cfRule type="expression" dxfId="12" priority="4864">
      <formula>ISNUMBER(SEARCH("9Z", $D28))</formula>
    </cfRule>
    <cfRule type="expression" dxfId="11" priority="4865">
      <formula>ISNUMBER(SEARCH("5*", $D28))</formula>
    </cfRule>
    <cfRule type="expression" dxfId="10" priority="4866">
      <formula>ISNUMBER(SEARCH("N", $X28))</formula>
    </cfRule>
  </conditionalFormatting>
  <conditionalFormatting sqref="H27">
    <cfRule type="expression" dxfId="9" priority="77">
      <formula>ISNUMBER(SEARCH("ITRSK", $V29))</formula>
    </cfRule>
    <cfRule type="expression" dxfId="8" priority="78">
      <formula>ISNUMBER(SEARCH("Undefined", $D29))</formula>
    </cfRule>
    <cfRule type="expression" dxfId="7" priority="79">
      <formula>ISNUMBER(SEARCH("9Z", $D29))</formula>
    </cfRule>
    <cfRule type="expression" dxfId="6" priority="80">
      <formula>ISNUMBER(SEARCH("5*", $D29))</formula>
    </cfRule>
    <cfRule type="expression" dxfId="5" priority="81">
      <formula>ISNUMBER(SEARCH("N", $Y29))</formula>
    </cfRule>
  </conditionalFormatting>
  <pageMargins left="0.75" right="0.75" top="1" bottom="1" header="0.5" footer="0.5"/>
  <pageSetup orientation="portrait" horizontalDpi="300" verticalDpi="3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T19"/>
  <sheetViews>
    <sheetView tabSelected="1" zoomScale="85" zoomScaleNormal="85" workbookViewId="0">
      <pane ySplit="1" topLeftCell="A2" activePane="bottomLeft" state="frozen"/>
      <selection activeCell="K1" sqref="K1"/>
      <selection pane="bottomLeft" activeCell="L2" sqref="L2"/>
    </sheetView>
  </sheetViews>
  <sheetFormatPr defaultColWidth="9.453125" defaultRowHeight="13" x14ac:dyDescent="0.3"/>
  <cols>
    <col min="1" max="1" width="14" style="99" customWidth="1"/>
    <col min="2" max="2" width="22.1796875" style="96" customWidth="1"/>
    <col min="3" max="3" width="48.54296875" style="19" customWidth="1"/>
    <col min="4" max="4" width="12.453125" style="96" customWidth="1"/>
    <col min="5" max="5" width="21.453125" style="4" hidden="1" customWidth="1"/>
    <col min="6" max="6" width="18.54296875" style="96" hidden="1" customWidth="1"/>
    <col min="7" max="7" width="29" style="103" hidden="1" customWidth="1"/>
    <col min="8" max="8" width="16.54296875" style="96" hidden="1" customWidth="1"/>
    <col min="9" max="9" width="11.453125" style="96" hidden="1" customWidth="1"/>
    <col min="10" max="10" width="29" style="4" hidden="1" customWidth="1"/>
    <col min="11" max="11" width="16.54296875" style="19" hidden="1" customWidth="1"/>
    <col min="12" max="12" width="20.54296875" style="19" customWidth="1"/>
    <col min="13" max="13" width="19.81640625" style="19" customWidth="1"/>
    <col min="14" max="14" width="10.453125" style="19" customWidth="1"/>
    <col min="15" max="15" width="9.54296875" style="19" bestFit="1" customWidth="1"/>
    <col min="16" max="16" width="11.453125" style="19" bestFit="1" customWidth="1"/>
    <col min="17" max="18" width="12" style="19" customWidth="1"/>
    <col min="19" max="19" width="12" style="96" customWidth="1"/>
    <col min="20" max="20" width="54.453125" style="19" customWidth="1"/>
    <col min="21" max="16384" width="9.453125" style="19"/>
  </cols>
  <sheetData>
    <row r="1" spans="1:20" s="93" customFormat="1" ht="26" x14ac:dyDescent="0.3">
      <c r="A1" s="97" t="s">
        <v>172</v>
      </c>
      <c r="B1" s="94" t="s">
        <v>100</v>
      </c>
      <c r="C1" s="107" t="s">
        <v>106</v>
      </c>
      <c r="D1" s="94" t="s">
        <v>102</v>
      </c>
      <c r="E1" s="92" t="s">
        <v>107</v>
      </c>
      <c r="F1" s="94" t="s">
        <v>173</v>
      </c>
      <c r="G1" s="101" t="s">
        <v>121</v>
      </c>
      <c r="H1" s="94" t="s">
        <v>119</v>
      </c>
      <c r="I1" s="37" t="s">
        <v>122</v>
      </c>
      <c r="J1" s="37" t="s">
        <v>123</v>
      </c>
      <c r="K1" s="92" t="s">
        <v>174</v>
      </c>
      <c r="L1" s="92" t="s">
        <v>175</v>
      </c>
      <c r="M1" s="108" t="s">
        <v>176</v>
      </c>
      <c r="N1" s="108" t="s">
        <v>177</v>
      </c>
      <c r="O1" s="108" t="s">
        <v>178</v>
      </c>
      <c r="P1" s="108" t="s">
        <v>179</v>
      </c>
      <c r="Q1" s="108" t="s">
        <v>180</v>
      </c>
      <c r="R1" s="108" t="s">
        <v>181</v>
      </c>
      <c r="S1" s="123" t="s">
        <v>182</v>
      </c>
      <c r="T1" s="108" t="s">
        <v>118</v>
      </c>
    </row>
    <row r="2" spans="1:20" ht="286" x14ac:dyDescent="0.3">
      <c r="A2" s="114">
        <f>IFERROR(INDEX('In Scope Applications'!S:S,MATCH($C2,'In Scope Applications'!$H:$H,0)),"")</f>
        <v>44085</v>
      </c>
      <c r="B2" s="95" t="str">
        <f>IFERROR(INDEX(#REF!,MATCH($C2,#REF!,0)),"")</f>
        <v/>
      </c>
      <c r="C2" s="43" t="s">
        <v>137</v>
      </c>
      <c r="D2" s="95" t="str">
        <f>IFERROR(INDEX(#REF!,MATCH($C2,#REF!,0)),"")</f>
        <v/>
      </c>
      <c r="E2" s="100" t="str">
        <f>IFERROR(INDEX(#REF!,MATCH($C2,#REF!,0)),"")</f>
        <v/>
      </c>
      <c r="F2" s="95" t="str">
        <f>IFERROR(INDEX(#REF!,MATCH($C2,#REF!,0)),"")</f>
        <v/>
      </c>
      <c r="G2" s="102" t="str">
        <f>IFERROR(INDEX(#REF!,MATCH($C2,#REF!,0)),"")</f>
        <v/>
      </c>
      <c r="H2" s="95" t="str">
        <f>IFERROR(INDEX(#REF!,MATCH($C2,#REF!,0)),"")</f>
        <v/>
      </c>
      <c r="I2" s="95" t="str">
        <f>IFERROR(INDEX(#REF!,MATCH($C2,#REF!,0)),"")</f>
        <v/>
      </c>
      <c r="J2" s="100" t="str">
        <f>IFERROR(INDEX(#REF!,MATCH($C2,#REF!,0)),"")</f>
        <v/>
      </c>
      <c r="K2" s="63" t="str">
        <f>IFERROR(INDEX(#REF!,MATCH($C2,#REF!,0)),"")</f>
        <v/>
      </c>
      <c r="L2" s="63" t="s">
        <v>292</v>
      </c>
      <c r="M2" s="91" t="s">
        <v>195</v>
      </c>
      <c r="N2" s="91" t="s">
        <v>196</v>
      </c>
      <c r="O2" s="91"/>
      <c r="P2" s="88"/>
      <c r="Q2" s="88"/>
      <c r="R2" s="88"/>
      <c r="S2" s="115"/>
      <c r="T2" s="91" t="s">
        <v>197</v>
      </c>
    </row>
    <row r="3" spans="1:20" ht="48" customHeight="1" x14ac:dyDescent="0.3">
      <c r="A3" s="114" t="str">
        <f>IFERROR(INDEX('In Scope Applications'!S:S,MATCH($C3,'In Scope Applications'!$H:$H,0)),"")</f>
        <v/>
      </c>
      <c r="B3" s="95" t="str">
        <f>IFERROR(INDEX(#REF!,MATCH($C3,#REF!,0)),"")</f>
        <v/>
      </c>
      <c r="C3" s="39" t="s">
        <v>161</v>
      </c>
      <c r="D3" s="95"/>
      <c r="E3" s="100"/>
      <c r="F3" s="95"/>
      <c r="G3" s="102"/>
      <c r="H3" s="95"/>
      <c r="I3" s="95"/>
      <c r="J3" s="100"/>
      <c r="K3" s="63" t="str">
        <f>IFERROR(INDEX(#REF!,MATCH($C3,#REF!,0)),"")</f>
        <v/>
      </c>
      <c r="L3" s="110" t="s">
        <v>291</v>
      </c>
      <c r="M3" s="91" t="s">
        <v>198</v>
      </c>
      <c r="N3" s="91" t="s">
        <v>199</v>
      </c>
      <c r="O3" s="89">
        <v>44084</v>
      </c>
      <c r="P3" s="89">
        <v>44084</v>
      </c>
      <c r="Q3" s="89">
        <v>44105</v>
      </c>
      <c r="R3" s="89">
        <v>44124</v>
      </c>
      <c r="S3" s="115" t="s">
        <v>184</v>
      </c>
      <c r="T3" s="113" t="s">
        <v>200</v>
      </c>
    </row>
    <row r="4" spans="1:20" ht="87.65" customHeight="1" x14ac:dyDescent="0.3">
      <c r="A4" s="98">
        <f>IFERROR(INDEX('In Scope Applications'!S:S,MATCH($C4,'In Scope Applications'!$H:$H,0)),"")</f>
        <v>44092</v>
      </c>
      <c r="B4" s="95" t="str">
        <f>IFERROR(INDEX(#REF!,MATCH($C4,#REF!,0)),"")</f>
        <v/>
      </c>
      <c r="C4" s="88" t="s">
        <v>135</v>
      </c>
      <c r="D4" s="95" t="str">
        <f>IFERROR(INDEX(#REF!,MATCH($C4,#REF!,0)),"")</f>
        <v/>
      </c>
      <c r="E4" s="100" t="str">
        <f>IFERROR(INDEX(#REF!,MATCH($C4,#REF!,0)),"")</f>
        <v/>
      </c>
      <c r="F4" s="95" t="str">
        <f>IFERROR(INDEX(#REF!,MATCH($C4,#REF!,0)),"")</f>
        <v/>
      </c>
      <c r="G4" s="102" t="str">
        <f>IFERROR(INDEX(#REF!,MATCH($C4,#REF!,0)),"")</f>
        <v/>
      </c>
      <c r="H4" s="95" t="str">
        <f>IFERROR(INDEX(#REF!,MATCH($C4,#REF!,0)),"")</f>
        <v/>
      </c>
      <c r="I4" s="95" t="str">
        <f>IFERROR(INDEX(#REF!,MATCH($C4,#REF!,0)),"")</f>
        <v/>
      </c>
      <c r="J4" s="100" t="str">
        <f>IFERROR(INDEX(#REF!,MATCH($C4,#REF!,0)),"")</f>
        <v/>
      </c>
      <c r="K4" s="63" t="str">
        <f>IFERROR(INDEX(#REF!,MATCH($C4,#REF!,0)),"")</f>
        <v/>
      </c>
      <c r="L4" s="63" t="str">
        <f>IFERROR(INDEX(#REF!,MATCH($C4,#REF!,0)),"")</f>
        <v/>
      </c>
      <c r="M4" s="88" t="s">
        <v>201</v>
      </c>
      <c r="N4" s="117"/>
      <c r="O4" s="90">
        <v>44084</v>
      </c>
      <c r="P4" s="89">
        <v>44090</v>
      </c>
      <c r="Q4" s="89">
        <v>44092</v>
      </c>
      <c r="R4" s="89">
        <v>44098</v>
      </c>
      <c r="S4" s="114" t="s">
        <v>184</v>
      </c>
      <c r="T4" s="91" t="s">
        <v>202</v>
      </c>
    </row>
    <row r="5" spans="1:20" ht="128.65" customHeight="1" x14ac:dyDescent="0.3">
      <c r="A5" s="98">
        <f>IFERROR(INDEX('In Scope Applications'!S:S,MATCH($C5,'In Scope Applications'!$H:$H,0)),"")</f>
        <v>44092</v>
      </c>
      <c r="B5" s="95" t="str">
        <f>IFERROR(INDEX(#REF!,MATCH($C5,#REF!,0)),"")</f>
        <v/>
      </c>
      <c r="C5" s="88" t="s">
        <v>148</v>
      </c>
      <c r="D5" s="95" t="str">
        <f>IFERROR(INDEX(#REF!,MATCH($C5,#REF!,0)),"")</f>
        <v/>
      </c>
      <c r="E5" s="100" t="str">
        <f>IFERROR(INDEX(#REF!,MATCH($C5,#REF!,0)),"")</f>
        <v/>
      </c>
      <c r="F5" s="95" t="str">
        <f>IFERROR(INDEX(#REF!,MATCH($C5,#REF!,0)),"")</f>
        <v/>
      </c>
      <c r="G5" s="102" t="str">
        <f>IFERROR(INDEX(#REF!,MATCH($C5,#REF!,0)),"")</f>
        <v/>
      </c>
      <c r="H5" s="95" t="str">
        <f>IFERROR(INDEX(#REF!,MATCH($C5,#REF!,0)),"")</f>
        <v/>
      </c>
      <c r="I5" s="95" t="str">
        <f>IFERROR(INDEX(#REF!,MATCH($C5,#REF!,0)),"")</f>
        <v/>
      </c>
      <c r="J5" s="100" t="str">
        <f>IFERROR(INDEX(#REF!,MATCH($C5,#REF!,0)),"")</f>
        <v/>
      </c>
      <c r="K5" s="63" t="str">
        <f>IFERROR(INDEX(#REF!,MATCH($C5,#REF!,0)),"")</f>
        <v/>
      </c>
      <c r="L5" s="63" t="str">
        <f>IFERROR(INDEX(#REF!,MATCH($C5,#REF!,0)),"")</f>
        <v/>
      </c>
      <c r="M5" s="88" t="s">
        <v>193</v>
      </c>
      <c r="N5" s="88" t="s">
        <v>194</v>
      </c>
      <c r="O5" s="90">
        <v>44074</v>
      </c>
      <c r="P5" s="89">
        <v>44084</v>
      </c>
      <c r="Q5" s="89">
        <v>44105</v>
      </c>
      <c r="R5" s="89">
        <v>44105</v>
      </c>
      <c r="S5" s="115" t="s">
        <v>184</v>
      </c>
      <c r="T5" s="91" t="s">
        <v>203</v>
      </c>
    </row>
    <row r="6" spans="1:20" ht="132.65" customHeight="1" x14ac:dyDescent="0.3">
      <c r="A6" s="98" t="str">
        <f>IFERROR(INDEX('In Scope Applications'!S:S,MATCH($C6,'In Scope Applications'!$H:$H,0)),"")</f>
        <v/>
      </c>
      <c r="B6" s="95" t="str">
        <f>IFERROR(INDEX(#REF!,MATCH($C6,#REF!,0)),"")</f>
        <v/>
      </c>
      <c r="C6" s="88" t="s">
        <v>157</v>
      </c>
      <c r="D6" s="95" t="str">
        <f>IFERROR(INDEX(#REF!,MATCH($C6,#REF!,0)),"")</f>
        <v/>
      </c>
      <c r="E6" s="100" t="str">
        <f>IFERROR(INDEX(#REF!,MATCH($C6,#REF!,0)),"")</f>
        <v/>
      </c>
      <c r="F6" s="95" t="str">
        <f>IFERROR(INDEX(#REF!,MATCH($C6,#REF!,0)),"")</f>
        <v/>
      </c>
      <c r="G6" s="102" t="str">
        <f>IFERROR(INDEX(#REF!,MATCH($C6,#REF!,0)),"")</f>
        <v/>
      </c>
      <c r="H6" s="95" t="str">
        <f>IFERROR(INDEX(#REF!,MATCH($C6,#REF!,0)),"")</f>
        <v/>
      </c>
      <c r="I6" s="95" t="str">
        <f>IFERROR(INDEX(#REF!,MATCH($C6,#REF!,0)),"")</f>
        <v/>
      </c>
      <c r="J6" s="100" t="str">
        <f>IFERROR(INDEX(#REF!,MATCH($C6,#REF!,0)),"")</f>
        <v/>
      </c>
      <c r="K6" s="63" t="str">
        <f>IFERROR(INDEX(#REF!,MATCH($C6,#REF!,0)),"")</f>
        <v/>
      </c>
      <c r="L6" s="63" t="str">
        <f>IFERROR(INDEX(#REF!,MATCH($C6,#REF!,0)),"")</f>
        <v/>
      </c>
      <c r="M6" s="88" t="s">
        <v>186</v>
      </c>
      <c r="N6" s="88" t="s">
        <v>204</v>
      </c>
      <c r="O6" s="89">
        <v>44092</v>
      </c>
      <c r="P6" s="89">
        <v>44092</v>
      </c>
      <c r="Q6" s="89">
        <v>44092</v>
      </c>
      <c r="R6" s="89">
        <v>44097</v>
      </c>
      <c r="S6" s="115" t="s">
        <v>185</v>
      </c>
      <c r="T6" s="91" t="s">
        <v>205</v>
      </c>
    </row>
    <row r="7" spans="1:20" ht="234" x14ac:dyDescent="0.3">
      <c r="A7" s="98" t="str">
        <f>IFERROR(INDEX('In Scope Applications'!S:S,MATCH($C7,'In Scope Applications'!$H:$H,0)),"")</f>
        <v/>
      </c>
      <c r="B7" s="95" t="str">
        <f>IFERROR(INDEX(#REF!,MATCH($C7,#REF!,0)),"")</f>
        <v/>
      </c>
      <c r="C7" s="125" t="s">
        <v>206</v>
      </c>
      <c r="D7" s="95" t="str">
        <f>IFERROR(INDEX(#REF!,MATCH($C7,#REF!,0)),"")</f>
        <v/>
      </c>
      <c r="E7" s="100" t="str">
        <f>IFERROR(INDEX(#REF!,MATCH($C7,#REF!,0)),"")</f>
        <v/>
      </c>
      <c r="F7" s="95" t="str">
        <f>IFERROR(INDEX(#REF!,MATCH($C7,#REF!,0)),"")</f>
        <v/>
      </c>
      <c r="G7" s="102" t="str">
        <f>IFERROR(INDEX(#REF!,MATCH($C7,#REF!,0)),"")</f>
        <v/>
      </c>
      <c r="H7" s="95" t="str">
        <f>IFERROR(INDEX(#REF!,MATCH($C7,#REF!,0)),"")</f>
        <v/>
      </c>
      <c r="I7" s="95" t="str">
        <f>IFERROR(INDEX(#REF!,MATCH($C7,#REF!,0)),"")</f>
        <v/>
      </c>
      <c r="J7" s="100" t="str">
        <f>IFERROR(INDEX(#REF!,MATCH($C7,#REF!,0)),"")</f>
        <v/>
      </c>
      <c r="K7" s="63" t="str">
        <f>IFERROR(INDEX(#REF!,MATCH($C7,#REF!,0)),"")</f>
        <v/>
      </c>
      <c r="L7" s="63" t="str">
        <f>IFERROR(INDEX(#REF!,MATCH($C7,#REF!,0)),"")</f>
        <v/>
      </c>
      <c r="M7" s="88" t="s">
        <v>207</v>
      </c>
      <c r="N7" s="88" t="s">
        <v>190</v>
      </c>
      <c r="O7" s="126" t="s">
        <v>208</v>
      </c>
      <c r="P7" s="90" t="s">
        <v>208</v>
      </c>
      <c r="Q7" s="90" t="s">
        <v>209</v>
      </c>
      <c r="R7" s="90" t="s">
        <v>210</v>
      </c>
      <c r="S7" s="116" t="s">
        <v>211</v>
      </c>
      <c r="T7" s="91" t="s">
        <v>212</v>
      </c>
    </row>
    <row r="8" spans="1:20" x14ac:dyDescent="0.3">
      <c r="A8" s="98" t="str">
        <f>IFERROR(INDEX('In Scope Applications'!S:S,MATCH($C8,'In Scope Applications'!$H:$H,0)),"")</f>
        <v/>
      </c>
      <c r="B8" s="95" t="str">
        <f>IFERROR(INDEX(#REF!,MATCH($C8,#REF!,0)),"")</f>
        <v/>
      </c>
      <c r="C8" s="88" t="s">
        <v>166</v>
      </c>
      <c r="D8" s="95" t="str">
        <f>IFERROR(INDEX(#REF!,MATCH($C8,#REF!,0)),"")</f>
        <v/>
      </c>
      <c r="E8" s="100" t="str">
        <f>IFERROR(INDEX(#REF!,MATCH($C8,#REF!,0)),"")</f>
        <v/>
      </c>
      <c r="F8" s="95" t="str">
        <f>IFERROR(INDEX(#REF!,MATCH($C8,#REF!,0)),"")</f>
        <v/>
      </c>
      <c r="G8" s="102" t="str">
        <f>IFERROR(INDEX(#REF!,MATCH($C8,#REF!,0)),"")</f>
        <v/>
      </c>
      <c r="H8" s="95" t="str">
        <f>IFERROR(INDEX(#REF!,MATCH($C8,#REF!,0)),"")</f>
        <v/>
      </c>
      <c r="I8" s="95" t="str">
        <f>IFERROR(INDEX(#REF!,MATCH($C8,#REF!,0)),"")</f>
        <v/>
      </c>
      <c r="J8" s="100" t="str">
        <f>IFERROR(INDEX(#REF!,MATCH($C8,#REF!,0)),"")</f>
        <v/>
      </c>
      <c r="K8" s="63" t="str">
        <f>IFERROR(INDEX(#REF!,MATCH($C8,#REF!,0)),"")</f>
        <v/>
      </c>
      <c r="L8" s="63" t="str">
        <f>IFERROR(INDEX(#REF!,MATCH($C8,#REF!,0)),"")</f>
        <v/>
      </c>
      <c r="M8" s="88" t="s">
        <v>213</v>
      </c>
      <c r="N8" s="88"/>
      <c r="O8" s="88"/>
      <c r="P8" s="88"/>
      <c r="Q8" s="88"/>
      <c r="R8" s="88"/>
      <c r="S8" s="115"/>
      <c r="T8" s="88"/>
    </row>
    <row r="9" spans="1:20" ht="33.65" customHeight="1" x14ac:dyDescent="0.3">
      <c r="A9" s="98" t="s">
        <v>214</v>
      </c>
      <c r="B9" s="95" t="s">
        <v>215</v>
      </c>
      <c r="C9" s="88" t="s">
        <v>216</v>
      </c>
      <c r="D9" s="95" t="str">
        <f>IFERROR(INDEX(#REF!,MATCH($C9,#REF!,0)),"")</f>
        <v/>
      </c>
      <c r="E9" s="100" t="str">
        <f>IFERROR(INDEX(#REF!,MATCH($C9,#REF!,0)),"")</f>
        <v/>
      </c>
      <c r="F9" s="95" t="str">
        <f>IFERROR(INDEX(#REF!,MATCH($C9,#REF!,0)),"")</f>
        <v/>
      </c>
      <c r="G9" s="102" t="str">
        <f>IFERROR(INDEX(#REF!,MATCH($C9,#REF!,0)),"")</f>
        <v/>
      </c>
      <c r="H9" s="95" t="str">
        <f>IFERROR(INDEX(#REF!,MATCH($C9,#REF!,0)),"")</f>
        <v/>
      </c>
      <c r="I9" s="95" t="str">
        <f>IFERROR(INDEX(#REF!,MATCH($C9,#REF!,0)),"")</f>
        <v/>
      </c>
      <c r="J9" s="100" t="str">
        <f>IFERROR(INDEX(#REF!,MATCH($C9,#REF!,0)),"")</f>
        <v/>
      </c>
      <c r="K9" s="63" t="str">
        <f>IFERROR(INDEX(#REF!,MATCH($C9,#REF!,0)),"")</f>
        <v/>
      </c>
      <c r="L9" s="63" t="str">
        <f>IFERROR(INDEX(#REF!,MATCH($C9,#REF!,0)),"")</f>
        <v/>
      </c>
      <c r="M9" s="88"/>
      <c r="N9" s="88"/>
      <c r="O9" s="88"/>
      <c r="P9" s="88"/>
      <c r="Q9" s="88"/>
      <c r="R9" s="88"/>
      <c r="S9" s="115"/>
      <c r="T9" s="88" t="s">
        <v>217</v>
      </c>
    </row>
    <row r="10" spans="1:20" ht="133.15" customHeight="1" x14ac:dyDescent="0.3">
      <c r="A10" s="98" t="str">
        <f>IFERROR(INDEX('In Scope Applications'!S:S,MATCH($C10,'In Scope Applications'!$H:$H,0)),"")</f>
        <v/>
      </c>
      <c r="B10" s="95" t="str">
        <f>IFERROR(INDEX(#REF!,MATCH($C10,#REF!,0)),"")</f>
        <v/>
      </c>
      <c r="C10" s="88" t="s">
        <v>165</v>
      </c>
      <c r="D10" s="95" t="str">
        <f>IFERROR(INDEX(#REF!,MATCH($C10,#REF!,0)),"")</f>
        <v/>
      </c>
      <c r="E10" s="100" t="str">
        <f>IFERROR(INDEX(#REF!,MATCH($C10,#REF!,0)),"")</f>
        <v/>
      </c>
      <c r="F10" s="95" t="str">
        <f>IFERROR(INDEX(#REF!,MATCH($C10,#REF!,0)),"")</f>
        <v/>
      </c>
      <c r="G10" s="102" t="str">
        <f>IFERROR(INDEX(#REF!,MATCH($C10,#REF!,0)),"")</f>
        <v/>
      </c>
      <c r="H10" s="95" t="str">
        <f>IFERROR(INDEX(#REF!,MATCH($C10,#REF!,0)),"")</f>
        <v/>
      </c>
      <c r="I10" s="95" t="str">
        <f>IFERROR(INDEX(#REF!,MATCH($C10,#REF!,0)),"")</f>
        <v/>
      </c>
      <c r="J10" s="100" t="str">
        <f>IFERROR(INDEX(#REF!,MATCH($C10,#REF!,0)),"")</f>
        <v/>
      </c>
      <c r="K10" s="63" t="str">
        <f>IFERROR(INDEX(#REF!,MATCH($C10,#REF!,0)),"")</f>
        <v/>
      </c>
      <c r="L10" s="63" t="str">
        <f>IFERROR(INDEX(#REF!,MATCH($C10,#REF!,0)),"")</f>
        <v/>
      </c>
      <c r="M10" s="88" t="s">
        <v>188</v>
      </c>
      <c r="N10" s="91" t="s">
        <v>218</v>
      </c>
      <c r="O10" s="116" t="s">
        <v>183</v>
      </c>
      <c r="P10" s="116" t="s">
        <v>183</v>
      </c>
      <c r="Q10" s="116" t="s">
        <v>183</v>
      </c>
      <c r="R10" s="116" t="s">
        <v>183</v>
      </c>
      <c r="S10" s="116" t="s">
        <v>183</v>
      </c>
      <c r="T10" s="91" t="s">
        <v>219</v>
      </c>
    </row>
    <row r="11" spans="1:20" ht="133.15" customHeight="1" x14ac:dyDescent="0.3">
      <c r="A11" s="98" t="str">
        <f>IFERROR(INDEX('In Scope Applications'!S:S,MATCH($C11,'In Scope Applications'!$H:$H,0)),"")</f>
        <v/>
      </c>
      <c r="B11" s="95" t="str">
        <f>IFERROR(INDEX(#REF!,MATCH($C11,#REF!,0)),"")</f>
        <v/>
      </c>
      <c r="C11" s="88" t="s">
        <v>156</v>
      </c>
      <c r="D11" s="95" t="str">
        <f>IFERROR(INDEX(#REF!,MATCH($C11,#REF!,0)),"")</f>
        <v/>
      </c>
      <c r="E11" s="100" t="str">
        <f>IFERROR(INDEX(#REF!,MATCH($C11,#REF!,0)),"")</f>
        <v/>
      </c>
      <c r="F11" s="95" t="str">
        <f>IFERROR(INDEX(#REF!,MATCH($C11,#REF!,0)),"")</f>
        <v/>
      </c>
      <c r="G11" s="102" t="str">
        <f>IFERROR(INDEX(#REF!,MATCH($C11,#REF!,0)),"")</f>
        <v/>
      </c>
      <c r="H11" s="95" t="str">
        <f>IFERROR(INDEX(#REF!,MATCH($C11,#REF!,0)),"")</f>
        <v/>
      </c>
      <c r="I11" s="95" t="str">
        <f>IFERROR(INDEX(#REF!,MATCH($C11,#REF!,0)),"")</f>
        <v/>
      </c>
      <c r="J11" s="100" t="str">
        <f>IFERROR(INDEX(#REF!,MATCH($C11,#REF!,0)),"")</f>
        <v/>
      </c>
      <c r="K11" s="63" t="str">
        <f>IFERROR(INDEX(#REF!,MATCH($C11,#REF!,0)),"")</f>
        <v/>
      </c>
      <c r="L11" s="63" t="str">
        <f>IFERROR(INDEX(#REF!,MATCH($C11,#REF!,0)),"")</f>
        <v/>
      </c>
      <c r="M11" s="91" t="s">
        <v>191</v>
      </c>
      <c r="N11" s="91" t="s">
        <v>187</v>
      </c>
      <c r="O11" s="88"/>
      <c r="P11" s="89">
        <v>44071</v>
      </c>
      <c r="Q11" s="116" t="s">
        <v>183</v>
      </c>
      <c r="R11" s="116" t="s">
        <v>183</v>
      </c>
      <c r="S11" s="116" t="s">
        <v>183</v>
      </c>
      <c r="T11" s="91" t="s">
        <v>220</v>
      </c>
    </row>
    <row r="12" spans="1:20" ht="133.15" customHeight="1" x14ac:dyDescent="0.3">
      <c r="A12" s="98" t="str">
        <f>IFERROR(INDEX('In Scope Applications'!S:S,MATCH($C12,'In Scope Applications'!$H:$H,0)),"")</f>
        <v/>
      </c>
      <c r="B12" s="95" t="str">
        <f>IFERROR(INDEX(#REF!,MATCH($C12,#REF!,0)),"")</f>
        <v/>
      </c>
      <c r="C12" s="88" t="s">
        <v>162</v>
      </c>
      <c r="D12" s="95" t="str">
        <f>IFERROR(INDEX(#REF!,MATCH($C12,#REF!,0)),"")</f>
        <v/>
      </c>
      <c r="E12" s="100" t="str">
        <f>IFERROR(INDEX(#REF!,MATCH($C12,#REF!,0)),"")</f>
        <v/>
      </c>
      <c r="F12" s="95" t="str">
        <f>IFERROR(INDEX(#REF!,MATCH($C12,#REF!,0)),"")</f>
        <v/>
      </c>
      <c r="G12" s="102" t="str">
        <f>IFERROR(INDEX(#REF!,MATCH($C12,#REF!,0)),"")</f>
        <v/>
      </c>
      <c r="H12" s="95" t="str">
        <f>IFERROR(INDEX(#REF!,MATCH($C12,#REF!,0)),"")</f>
        <v/>
      </c>
      <c r="I12" s="95" t="str">
        <f>IFERROR(INDEX(#REF!,MATCH($C12,#REF!,0)),"")</f>
        <v/>
      </c>
      <c r="J12" s="100" t="str">
        <f>IFERROR(INDEX(#REF!,MATCH($C12,#REF!,0)),"")</f>
        <v/>
      </c>
      <c r="K12" s="63" t="str">
        <f>IFERROR(INDEX(#REF!,MATCH($C12,#REF!,0)),"")</f>
        <v/>
      </c>
      <c r="L12" s="63" t="str">
        <f>IFERROR(INDEX(#REF!,MATCH($C12,#REF!,0)),"")</f>
        <v/>
      </c>
      <c r="M12" s="91" t="s">
        <v>191</v>
      </c>
      <c r="N12" s="91" t="s">
        <v>187</v>
      </c>
      <c r="O12" s="90">
        <v>44068</v>
      </c>
      <c r="P12" s="89">
        <v>44069</v>
      </c>
      <c r="Q12" s="116" t="s">
        <v>183</v>
      </c>
      <c r="R12" s="116" t="s">
        <v>183</v>
      </c>
      <c r="S12" s="116" t="s">
        <v>183</v>
      </c>
      <c r="T12" s="91" t="s">
        <v>221</v>
      </c>
    </row>
    <row r="13" spans="1:20" ht="208" x14ac:dyDescent="0.3">
      <c r="A13" s="98" t="str">
        <f>IFERROR(INDEX('In Scope Applications'!S:S,MATCH($C13,'In Scope Applications'!$H:$H,0)),"")</f>
        <v/>
      </c>
      <c r="B13" s="95" t="str">
        <f>IFERROR(INDEX(#REF!,MATCH($C13,#REF!,0)),"")</f>
        <v/>
      </c>
      <c r="C13" s="88" t="s">
        <v>164</v>
      </c>
      <c r="D13" s="95" t="str">
        <f>IFERROR(INDEX(#REF!,MATCH($C13,#REF!,0)),"")</f>
        <v/>
      </c>
      <c r="E13" s="100" t="str">
        <f>IFERROR(INDEX(#REF!,MATCH($C13,#REF!,0)),"")</f>
        <v/>
      </c>
      <c r="F13" s="95" t="str">
        <f>IFERROR(INDEX(#REF!,MATCH($C13,#REF!,0)),"")</f>
        <v/>
      </c>
      <c r="G13" s="102" t="str">
        <f>IFERROR(INDEX(#REF!,MATCH($C13,#REF!,0)),"")</f>
        <v/>
      </c>
      <c r="H13" s="95" t="str">
        <f>IFERROR(INDEX(#REF!,MATCH($C13,#REF!,0)),"")</f>
        <v/>
      </c>
      <c r="I13" s="95" t="str">
        <f>IFERROR(INDEX(#REF!,MATCH($C13,#REF!,0)),"")</f>
        <v/>
      </c>
      <c r="J13" s="100" t="str">
        <f>IFERROR(INDEX(#REF!,MATCH($C13,#REF!,0)),"")</f>
        <v/>
      </c>
      <c r="K13" s="63" t="str">
        <f>IFERROR(INDEX(#REF!,MATCH($C13,#REF!,0)),"")</f>
        <v/>
      </c>
      <c r="L13" s="63" t="str">
        <f>IFERROR(INDEX(#REF!,MATCH($C13,#REF!,0)),"")</f>
        <v/>
      </c>
      <c r="M13" s="91" t="s">
        <v>222</v>
      </c>
      <c r="N13" s="91"/>
      <c r="O13" s="91" t="s">
        <v>223</v>
      </c>
      <c r="P13" s="91"/>
      <c r="Q13" s="88"/>
      <c r="R13" s="88"/>
      <c r="S13" s="115"/>
      <c r="T13" s="91" t="s">
        <v>224</v>
      </c>
    </row>
    <row r="14" spans="1:20" ht="130" x14ac:dyDescent="0.3">
      <c r="A14" s="114" t="str">
        <f>IFERROR(INDEX('In Scope Applications'!S:S,MATCH($C14,'In Scope Applications'!$H:$H,0)),"")</f>
        <v/>
      </c>
      <c r="B14" s="95" t="str">
        <f>IFERROR(INDEX(#REF!,MATCH($C14,#REF!,0)),"")</f>
        <v/>
      </c>
      <c r="C14" s="88" t="s">
        <v>160</v>
      </c>
      <c r="D14" s="95" t="str">
        <f>IFERROR(INDEX(#REF!,MATCH($C14,#REF!,0)),"")</f>
        <v/>
      </c>
      <c r="E14" s="100" t="str">
        <f>IFERROR(INDEX(#REF!,MATCH($C14,#REF!,0)),"")</f>
        <v/>
      </c>
      <c r="F14" s="95" t="str">
        <f>IFERROR(INDEX(#REF!,MATCH($C14,#REF!,0)),"")</f>
        <v/>
      </c>
      <c r="G14" s="102" t="str">
        <f>IFERROR(INDEX(#REF!,MATCH($C14,#REF!,0)),"")</f>
        <v/>
      </c>
      <c r="H14" s="95" t="str">
        <f>IFERROR(INDEX(#REF!,MATCH($C14,#REF!,0)),"")</f>
        <v/>
      </c>
      <c r="I14" s="95" t="str">
        <f>IFERROR(INDEX(#REF!,MATCH($C14,#REF!,0)),"")</f>
        <v/>
      </c>
      <c r="J14" s="100" t="str">
        <f>IFERROR(INDEX(#REF!,MATCH($C14,#REF!,0)),"")</f>
        <v/>
      </c>
      <c r="K14" s="110" t="str">
        <f>IFERROR(INDEX(#REF!,MATCH($C14,#REF!,0)),"")</f>
        <v/>
      </c>
      <c r="L14" s="63" t="str">
        <f>IFERROR(INDEX(#REF!,MATCH($C14,#REF!,0)),"")</f>
        <v/>
      </c>
      <c r="M14" s="88"/>
      <c r="N14" s="91" t="s">
        <v>189</v>
      </c>
      <c r="O14" s="90"/>
      <c r="P14" s="89"/>
      <c r="Q14" s="89"/>
      <c r="R14" s="89"/>
      <c r="S14" s="114"/>
      <c r="T14" s="91" t="s">
        <v>225</v>
      </c>
    </row>
    <row r="15" spans="1:20" ht="65" x14ac:dyDescent="0.3">
      <c r="A15" s="98" t="s">
        <v>192</v>
      </c>
      <c r="B15" s="95" t="str">
        <f>IFERROR(INDEX(#REF!,MATCH($C15,#REF!,0)),"")</f>
        <v/>
      </c>
      <c r="C15" s="88" t="s">
        <v>226</v>
      </c>
      <c r="D15" s="95" t="str">
        <f>IFERROR(INDEX(#REF!,MATCH($C15,#REF!,0)),"")</f>
        <v/>
      </c>
      <c r="E15" s="100" t="str">
        <f>IFERROR(INDEX(#REF!,MATCH($C15,#REF!,0)),"")</f>
        <v/>
      </c>
      <c r="F15" s="95" t="str">
        <f>IFERROR(INDEX(#REF!,MATCH($C15,#REF!,0)),"")</f>
        <v/>
      </c>
      <c r="G15" s="102" t="str">
        <f>IFERROR(INDEX(#REF!,MATCH($C15,#REF!,0)),"")</f>
        <v/>
      </c>
      <c r="H15" s="95" t="str">
        <f>IFERROR(INDEX(#REF!,MATCH($C15,#REF!,0)),"")</f>
        <v/>
      </c>
      <c r="I15" s="95" t="str">
        <f>IFERROR(INDEX(#REF!,MATCH($C15,#REF!,0)),"")</f>
        <v/>
      </c>
      <c r="J15" s="100" t="str">
        <f>IFERROR(INDEX(#REF!,MATCH($C15,#REF!,0)),"")</f>
        <v/>
      </c>
      <c r="K15" s="63" t="str">
        <f>IFERROR(INDEX(#REF!,MATCH($C15,#REF!,0)),"")</f>
        <v/>
      </c>
      <c r="L15" s="63" t="str">
        <f>IFERROR(INDEX(#REF!,MATCH($C15,#REF!,0)),"")</f>
        <v/>
      </c>
      <c r="M15" s="88" t="s">
        <v>227</v>
      </c>
      <c r="N15" s="88"/>
      <c r="O15" s="88"/>
      <c r="P15" s="88"/>
      <c r="Q15" s="88"/>
      <c r="R15" s="88"/>
      <c r="S15" s="115"/>
      <c r="T15" s="91" t="s">
        <v>228</v>
      </c>
    </row>
    <row r="16" spans="1:20" ht="91" x14ac:dyDescent="0.3">
      <c r="A16" s="114">
        <f>IFERROR(INDEX('In Scope Applications'!S:S,MATCH($C16,'In Scope Applications'!$H:$H,0)),"")</f>
        <v>44154</v>
      </c>
      <c r="B16" s="115" t="str">
        <f>IFERROR(INDEX(#REF!,MATCH($C16,#REF!,0)),"")</f>
        <v/>
      </c>
      <c r="C16" s="43" t="s">
        <v>154</v>
      </c>
      <c r="D16" s="115" t="str">
        <f>IFERROR(INDEX(#REF!,MATCH($C16,#REF!,0)),"")</f>
        <v/>
      </c>
      <c r="E16" s="91" t="str">
        <f>IFERROR(INDEX(#REF!,MATCH($C16,#REF!,0)),"")</f>
        <v/>
      </c>
      <c r="F16" s="115" t="str">
        <f>IFERROR(INDEX(#REF!,MATCH($C16,#REF!,0)),"")</f>
        <v/>
      </c>
      <c r="G16" s="116" t="str">
        <f>IFERROR(INDEX(#REF!,MATCH($C16,#REF!,0)),"")</f>
        <v/>
      </c>
      <c r="H16" s="115" t="str">
        <f>IFERROR(INDEX(#REF!,MATCH($C16,#REF!,0)),"")</f>
        <v/>
      </c>
      <c r="I16" s="115" t="str">
        <f>IFERROR(INDEX(#REF!,MATCH($C16,#REF!,0)),"")</f>
        <v/>
      </c>
      <c r="J16" s="91" t="str">
        <f>IFERROR(INDEX(#REF!,MATCH($C16,#REF!,0)),"")</f>
        <v/>
      </c>
      <c r="K16" s="88" t="str">
        <f>IFERROR(INDEX(#REF!,MATCH($C16,#REF!,0)),"")</f>
        <v/>
      </c>
      <c r="L16" s="88" t="str">
        <f>IFERROR(INDEX(#REF!,MATCH($C16,#REF!,0)),"")</f>
        <v/>
      </c>
      <c r="M16" s="88" t="s">
        <v>229</v>
      </c>
      <c r="N16" s="89">
        <v>44139</v>
      </c>
      <c r="O16" s="89">
        <v>44139</v>
      </c>
      <c r="P16" s="89">
        <v>44141</v>
      </c>
      <c r="Q16" s="88"/>
      <c r="R16" s="88"/>
      <c r="S16" s="127" t="s">
        <v>230</v>
      </c>
      <c r="T16" s="91" t="s">
        <v>231</v>
      </c>
    </row>
    <row r="17" spans="1:20" ht="130" x14ac:dyDescent="0.3">
      <c r="A17" s="98" t="str">
        <f>IFERROR(INDEX('In Scope Applications'!S:S,MATCH($C17,'In Scope Applications'!$H:$H,0)),"")</f>
        <v/>
      </c>
      <c r="B17" s="95" t="str">
        <f>IFERROR(INDEX(#REF!,MATCH($C17,#REF!,0)),"")</f>
        <v/>
      </c>
      <c r="C17" s="88" t="s">
        <v>158</v>
      </c>
      <c r="D17" s="95" t="str">
        <f>IFERROR(INDEX(#REF!,MATCH($C17,#REF!,0)),"")</f>
        <v/>
      </c>
      <c r="E17" s="100" t="str">
        <f>IFERROR(INDEX(#REF!,MATCH($C17,#REF!,0)),"")</f>
        <v/>
      </c>
      <c r="F17" s="95" t="str">
        <f>IFERROR(INDEX(#REF!,MATCH($C17,#REF!,0)),"")</f>
        <v/>
      </c>
      <c r="G17" s="102" t="str">
        <f>IFERROR(INDEX(#REF!,MATCH($C17,#REF!,0)),"")</f>
        <v/>
      </c>
      <c r="H17" s="95" t="str">
        <f>IFERROR(INDEX(#REF!,MATCH($C17,#REF!,0)),"")</f>
        <v/>
      </c>
      <c r="I17" s="95" t="str">
        <f>IFERROR(INDEX(#REF!,MATCH($C17,#REF!,0)),"")</f>
        <v/>
      </c>
      <c r="J17" s="100" t="str">
        <f>IFERROR(INDEX(#REF!,MATCH($C17,#REF!,0)),"")</f>
        <v/>
      </c>
      <c r="K17" s="63" t="str">
        <f>IFERROR(INDEX(#REF!,MATCH($C17,#REF!,0)),"")</f>
        <v/>
      </c>
      <c r="L17" s="63" t="str">
        <f>IFERROR(INDEX(#REF!,MATCH($C17,#REF!,0)),"")</f>
        <v/>
      </c>
      <c r="M17" s="88" t="s">
        <v>232</v>
      </c>
      <c r="N17" s="88"/>
      <c r="O17" s="88"/>
      <c r="P17" s="88"/>
      <c r="Q17" s="88"/>
      <c r="R17" s="88"/>
      <c r="S17" s="115"/>
      <c r="T17" s="91" t="s">
        <v>233</v>
      </c>
    </row>
    <row r="18" spans="1:20" ht="115.4" customHeight="1" x14ac:dyDescent="0.3">
      <c r="A18" s="98" t="str">
        <f>IFERROR(INDEX('In Scope Applications'!S:S,MATCH($C18,'In Scope Applications'!$H:$H,0)),"")</f>
        <v/>
      </c>
      <c r="B18" s="95" t="str">
        <f>IFERROR(INDEX(#REF!,MATCH($C18,#REF!,0)),"")</f>
        <v/>
      </c>
      <c r="C18" s="88" t="s">
        <v>159</v>
      </c>
      <c r="D18" s="95" t="str">
        <f>IFERROR(INDEX(#REF!,MATCH($C18,#REF!,0)),"")</f>
        <v/>
      </c>
      <c r="E18" s="100" t="str">
        <f>IFERROR(INDEX(#REF!,MATCH($C18,#REF!,0)),"")</f>
        <v/>
      </c>
      <c r="F18" s="95" t="str">
        <f>IFERROR(INDEX(#REF!,MATCH($C18,#REF!,0)),"")</f>
        <v/>
      </c>
      <c r="G18" s="102" t="str">
        <f>IFERROR(INDEX(#REF!,MATCH($C18,#REF!,0)),"")</f>
        <v/>
      </c>
      <c r="H18" s="95" t="str">
        <f>IFERROR(INDEX(#REF!,MATCH($C18,#REF!,0)),"")</f>
        <v/>
      </c>
      <c r="I18" s="95" t="str">
        <f>IFERROR(INDEX(#REF!,MATCH($C18,#REF!,0)),"")</f>
        <v/>
      </c>
      <c r="J18" s="100" t="str">
        <f>IFERROR(INDEX(#REF!,MATCH($C18,#REF!,0)),"")</f>
        <v/>
      </c>
      <c r="K18" s="63" t="str">
        <f>IFERROR(INDEX(#REF!,MATCH($C18,#REF!,0)),"")</f>
        <v/>
      </c>
      <c r="L18" s="63" t="str">
        <f>IFERROR(INDEX(#REF!,MATCH($C18,#REF!,0)),"")</f>
        <v/>
      </c>
      <c r="M18" s="88" t="s">
        <v>188</v>
      </c>
      <c r="N18" s="116"/>
      <c r="O18" s="116"/>
      <c r="P18" s="116"/>
      <c r="Q18" s="116"/>
      <c r="R18" s="116"/>
      <c r="S18" s="116"/>
      <c r="T18" s="91" t="s">
        <v>234</v>
      </c>
    </row>
    <row r="19" spans="1:20" ht="115.4" customHeight="1" x14ac:dyDescent="0.3">
      <c r="A19" s="118"/>
      <c r="B19" s="119"/>
      <c r="C19" s="111"/>
      <c r="D19" s="119"/>
      <c r="E19" s="120"/>
      <c r="F19" s="119"/>
      <c r="G19" s="121"/>
      <c r="H19" s="119"/>
      <c r="I19" s="119"/>
      <c r="J19" s="120"/>
      <c r="K19" s="66"/>
      <c r="L19" s="66"/>
      <c r="M19" s="111"/>
      <c r="N19" s="111"/>
      <c r="O19" s="111"/>
      <c r="P19" s="111"/>
      <c r="Q19" s="111"/>
      <c r="R19" s="111"/>
      <c r="S19" s="124"/>
      <c r="T19" s="122"/>
    </row>
  </sheetData>
  <protectedRanges>
    <protectedRange algorithmName="SHA-512" hashValue="OIB52fPAuSRW6JDlQnnyr8KX2vAfqUdy2L68GV5I7/SIYoxDt37qXUp8+aMkXIHA1G7TWna3EPOhSbNuKY0wGw==" saltValue="znND/Pc4Xzvm0rt9tokmuw==" spinCount="100000" sqref="I1:J1" name="In Scope Apps"/>
    <protectedRange algorithmName="SHA-512" hashValue="OIB52fPAuSRW6JDlQnnyr8KX2vAfqUdy2L68GV5I7/SIYoxDt37qXUp8+aMkXIHA1G7TWna3EPOhSbNuKY0wGw==" saltValue="znND/Pc4Xzvm0rt9tokmuw==" spinCount="100000" sqref="C3" name="In Scope Apps_1"/>
  </protectedRanges>
  <autoFilter ref="A1:T18" xr:uid="{00000000-0009-0000-0000-000003000000}">
    <sortState xmlns:xlrd2="http://schemas.microsoft.com/office/spreadsheetml/2017/richdata2" ref="A2:S17">
      <sortCondition ref="A2:A18"/>
    </sortState>
  </autoFilter>
  <sortState xmlns:xlrd2="http://schemas.microsoft.com/office/spreadsheetml/2017/richdata2" ref="A2:S19">
    <sortCondition ref="A2:A17"/>
    <sortCondition ref="C2:C17"/>
  </sortState>
  <conditionalFormatting sqref="C3">
    <cfRule type="expression" dxfId="4" priority="70">
      <formula>ISNUMBER(SEARCH("ITRSK", $V3))</formula>
    </cfRule>
    <cfRule type="expression" dxfId="3" priority="71">
      <formula>ISNUMBER(SEARCH("Undefined", $D3))</formula>
    </cfRule>
    <cfRule type="expression" dxfId="2" priority="72">
      <formula>ISNUMBER(SEARCH("9Z", $D3))</formula>
    </cfRule>
    <cfRule type="expression" dxfId="1" priority="73">
      <formula>ISNUMBER(SEARCH("5*", $D3))</formula>
    </cfRule>
    <cfRule type="expression" dxfId="0" priority="74">
      <formula>ISNUMBER(SEARCH("N", $AA3))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1D878-0CD5-4B0C-8D47-9BC9421994CE}">
  <dimension ref="A1:AC1"/>
  <sheetViews>
    <sheetView workbookViewId="0">
      <selection activeCell="D1" sqref="D1"/>
    </sheetView>
  </sheetViews>
  <sheetFormatPr defaultRowHeight="12.5" x14ac:dyDescent="0.25"/>
  <cols>
    <col min="1" max="1" width="9.54296875" bestFit="1" customWidth="1"/>
    <col min="3" max="3" width="15.453125" bestFit="1" customWidth="1"/>
    <col min="4" max="5" width="16.453125" bestFit="1" customWidth="1"/>
    <col min="6" max="6" width="15.7265625" bestFit="1" customWidth="1"/>
    <col min="10" max="10" width="22.26953125" bestFit="1" customWidth="1"/>
    <col min="11" max="11" width="16" bestFit="1" customWidth="1"/>
    <col min="12" max="12" width="14" bestFit="1" customWidth="1"/>
    <col min="13" max="13" width="13.7265625" bestFit="1" customWidth="1"/>
    <col min="14" max="14" width="13" bestFit="1" customWidth="1"/>
    <col min="15" max="15" width="18.26953125" bestFit="1" customWidth="1"/>
    <col min="16" max="16" width="17.453125" bestFit="1" customWidth="1"/>
    <col min="17" max="17" width="16.6328125" bestFit="1" customWidth="1"/>
    <col min="18" max="18" width="17.90625" bestFit="1" customWidth="1"/>
    <col min="19" max="19" width="17.6328125" bestFit="1" customWidth="1"/>
    <col min="20" max="20" width="16.81640625" bestFit="1" customWidth="1"/>
    <col min="21" max="21" width="22.1796875" bestFit="1" customWidth="1"/>
    <col min="22" max="22" width="21.36328125" bestFit="1" customWidth="1"/>
    <col min="23" max="23" width="20" bestFit="1" customWidth="1"/>
    <col min="24" max="24" width="17.81640625" bestFit="1" customWidth="1"/>
    <col min="25" max="25" width="17" bestFit="1" customWidth="1"/>
    <col min="26" max="26" width="16.1796875" bestFit="1" customWidth="1"/>
    <col min="27" max="27" width="21.54296875" bestFit="1" customWidth="1"/>
    <col min="28" max="28" width="20.6328125" bestFit="1" customWidth="1"/>
    <col min="29" max="29" width="19.90625" bestFit="1" customWidth="1"/>
  </cols>
  <sheetData>
    <row r="1" spans="1:29" ht="13" x14ac:dyDescent="0.3">
      <c r="A1" s="107" t="s">
        <v>106</v>
      </c>
      <c r="B1" s="147" t="s">
        <v>102</v>
      </c>
      <c r="C1" s="147" t="s">
        <v>284</v>
      </c>
      <c r="D1" s="147" t="s">
        <v>283</v>
      </c>
      <c r="E1" s="147" t="s">
        <v>282</v>
      </c>
      <c r="F1" s="147" t="s">
        <v>281</v>
      </c>
      <c r="I1" s="107" t="s">
        <v>106</v>
      </c>
      <c r="J1" t="s">
        <v>280</v>
      </c>
      <c r="K1" t="s">
        <v>279</v>
      </c>
      <c r="L1" t="s">
        <v>267</v>
      </c>
      <c r="M1" t="s">
        <v>278</v>
      </c>
      <c r="N1" t="s">
        <v>277</v>
      </c>
      <c r="O1" t="s">
        <v>276</v>
      </c>
      <c r="P1" t="s">
        <v>275</v>
      </c>
      <c r="Q1" t="s">
        <v>274</v>
      </c>
      <c r="R1" t="s">
        <v>268</v>
      </c>
      <c r="S1" t="s">
        <v>273</v>
      </c>
      <c r="T1" t="s">
        <v>272</v>
      </c>
      <c r="U1" t="s">
        <v>271</v>
      </c>
      <c r="V1" t="s">
        <v>270</v>
      </c>
      <c r="W1" t="s">
        <v>269</v>
      </c>
      <c r="X1" s="147" t="s">
        <v>285</v>
      </c>
      <c r="Y1" s="147" t="s">
        <v>286</v>
      </c>
      <c r="Z1" s="147" t="s">
        <v>287</v>
      </c>
      <c r="AA1" s="147" t="s">
        <v>288</v>
      </c>
      <c r="AB1" s="147" t="s">
        <v>289</v>
      </c>
      <c r="AC1" s="147" t="s">
        <v>290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53"/>
  <sheetViews>
    <sheetView topLeftCell="A22" workbookViewId="0">
      <selection activeCell="A50" sqref="A50:A51"/>
    </sheetView>
  </sheetViews>
  <sheetFormatPr defaultColWidth="9.453125" defaultRowHeight="12.5" x14ac:dyDescent="0.25"/>
  <cols>
    <col min="1" max="1" width="51.453125" style="22" bestFit="1" customWidth="1"/>
    <col min="2" max="2" width="9.453125" style="22"/>
    <col min="3" max="3" width="23.54296875" style="23" customWidth="1"/>
    <col min="4" max="7" width="9.453125" style="22"/>
    <col min="8" max="8" width="13.54296875" style="22" bestFit="1" customWidth="1"/>
    <col min="9" max="16384" width="9.453125" style="22"/>
  </cols>
  <sheetData>
    <row r="1" spans="1:9" x14ac:dyDescent="0.25">
      <c r="A1" s="21" t="s">
        <v>235</v>
      </c>
      <c r="B1" s="22">
        <f>COUNTA('In Scope Applications'!D2:D19)</f>
        <v>18</v>
      </c>
      <c r="H1" s="24"/>
    </row>
    <row r="2" spans="1:9" x14ac:dyDescent="0.25">
      <c r="A2" s="21" t="s">
        <v>236</v>
      </c>
      <c r="B2" s="22">
        <f>COUNTIF('In Scope Applications'!Z2:Z19, "n")-B3</f>
        <v>0</v>
      </c>
      <c r="H2" s="24"/>
    </row>
    <row r="3" spans="1:9" x14ac:dyDescent="0.25">
      <c r="A3" s="21" t="s">
        <v>237</v>
      </c>
      <c r="B3" s="22">
        <f>COUNTIF('In Scope Applications'!D2:D19,"9Z")</f>
        <v>0</v>
      </c>
      <c r="H3" s="24"/>
    </row>
    <row r="4" spans="1:9" x14ac:dyDescent="0.25">
      <c r="A4" s="21" t="s">
        <v>238</v>
      </c>
      <c r="B4" s="22">
        <f>B1-B2-B3</f>
        <v>18</v>
      </c>
      <c r="C4" s="60">
        <f>SUM(B6,B14,B22,B30,B38,B46)</f>
        <v>0</v>
      </c>
      <c r="H4" s="24"/>
    </row>
    <row r="6" spans="1:9" ht="13" x14ac:dyDescent="0.3">
      <c r="A6" s="25" t="s">
        <v>239</v>
      </c>
      <c r="B6" s="22">
        <f>COUNTIF('In Scope Applications'!B2:B19,"Coram")</f>
        <v>0</v>
      </c>
      <c r="C6" s="23" t="s">
        <v>240</v>
      </c>
      <c r="D6" s="22">
        <f>COUNTIFS('In Scope Applications'!B2:B19,"Coram",'In Scope Applications'!U2:U19,"OBV*")</f>
        <v>0</v>
      </c>
      <c r="H6" s="24"/>
    </row>
    <row r="7" spans="1:9" x14ac:dyDescent="0.25">
      <c r="A7" s="26" t="s">
        <v>241</v>
      </c>
      <c r="B7" s="22">
        <f>COUNTIFS('In Scope Applications'!B2:B19,"Coram",'In Scope Applications'!D2:D19,"1*")</f>
        <v>0</v>
      </c>
      <c r="C7" s="23" t="s">
        <v>242</v>
      </c>
      <c r="D7" s="22">
        <f>COUNTIFS('In Scope Applications'!B2:B19,"Coram",'In Scope Applications'!U2:U19,"OBV*",'In Scope Applications'!V2:V19,"DR Testing Limitation")</f>
        <v>0</v>
      </c>
      <c r="H7" s="24"/>
    </row>
    <row r="8" spans="1:9" x14ac:dyDescent="0.25">
      <c r="A8" s="26" t="s">
        <v>243</v>
      </c>
      <c r="B8" s="22">
        <f>COUNTIFS('In Scope Applications'!B2:B19,"Coram",'In Scope Applications'!D2:D19,"2*")</f>
        <v>0</v>
      </c>
      <c r="C8" s="26" t="s">
        <v>244</v>
      </c>
      <c r="D8" s="22">
        <f>COUNTIFS('In Scope Applications'!B2:B19,"Coram",'In Scope Applications'!U2:U19,"OBV*",'In Scope Applications'!V2:V19,"Does Not Meet Requirements")</f>
        <v>0</v>
      </c>
      <c r="H8" s="24"/>
    </row>
    <row r="9" spans="1:9" x14ac:dyDescent="0.25">
      <c r="A9" s="26" t="s">
        <v>245</v>
      </c>
      <c r="B9" s="22">
        <f>COUNTIFS('In Scope Applications'!B2:B19,"Coram",'In Scope Applications'!D2:D19,"3*")</f>
        <v>0</v>
      </c>
      <c r="H9" s="24"/>
    </row>
    <row r="10" spans="1:9" x14ac:dyDescent="0.25">
      <c r="A10" s="26" t="s">
        <v>246</v>
      </c>
      <c r="B10" s="22">
        <f>COUNTIFS('In Scope Applications'!B2:B19,"Coram",'In Scope Applications'!D2:D19,"4*")</f>
        <v>0</v>
      </c>
    </row>
    <row r="11" spans="1:9" x14ac:dyDescent="0.25">
      <c r="A11" s="26" t="s">
        <v>247</v>
      </c>
      <c r="B11" s="22">
        <f>COUNTIFS('In Scope Applications'!B2:B19,"Coram",'In Scope Applications'!D2:D19,"5*")</f>
        <v>0</v>
      </c>
    </row>
    <row r="12" spans="1:9" x14ac:dyDescent="0.25">
      <c r="A12" s="26" t="s">
        <v>248</v>
      </c>
      <c r="B12" s="22">
        <f>COUNTIFS('In Scope Applications'!B2:B19,"Coram",'In Scope Applications'!D2:D19,"9Z")</f>
        <v>0</v>
      </c>
      <c r="H12" s="22" t="s">
        <v>249</v>
      </c>
      <c r="I12" s="22">
        <f>COUNTIF('In Scope Applications'!D2:D19,"1*")</f>
        <v>0</v>
      </c>
    </row>
    <row r="13" spans="1:9" x14ac:dyDescent="0.25">
      <c r="A13" s="26" t="s">
        <v>169</v>
      </c>
      <c r="B13" s="22">
        <f>COUNTIFS('In Scope Applications'!B2:B19,"Coram",'In Scope Applications'!D2:D19,"Undefined")</f>
        <v>0</v>
      </c>
      <c r="C13" s="60">
        <f>SUM(B7:B13)-B6</f>
        <v>0</v>
      </c>
      <c r="H13" s="22" t="s">
        <v>250</v>
      </c>
      <c r="I13" s="22">
        <f>COUNTIF('In Scope Applications'!D2:D19,"2*")</f>
        <v>0</v>
      </c>
    </row>
    <row r="14" spans="1:9" ht="13" x14ac:dyDescent="0.3">
      <c r="A14" s="25" t="s">
        <v>251</v>
      </c>
      <c r="B14" s="22">
        <f>COUNTIF('In Scope Applications'!B2:B19,"Enterprise")</f>
        <v>0</v>
      </c>
      <c r="C14" s="23" t="s">
        <v>240</v>
      </c>
      <c r="D14" s="22">
        <f>COUNTIFS('In Scope Applications'!B2:B19,"Enterprise",'In Scope Applications'!U2:U19,"OBV*")</f>
        <v>0</v>
      </c>
      <c r="H14" s="22" t="s">
        <v>252</v>
      </c>
      <c r="I14" s="22">
        <f>COUNTIF('In Scope Applications'!D2:D19,"3*")</f>
        <v>0</v>
      </c>
    </row>
    <row r="15" spans="1:9" x14ac:dyDescent="0.25">
      <c r="A15" s="26" t="s">
        <v>241</v>
      </c>
      <c r="B15" s="22">
        <f>COUNTIFS('In Scope Applications'!B2:B19,"Enterprise",'In Scope Applications'!D2:D19,"1*")</f>
        <v>0</v>
      </c>
      <c r="C15" s="23" t="s">
        <v>242</v>
      </c>
      <c r="D15" s="22">
        <f>COUNTIFS('In Scope Applications'!B2:B19,"Enterprise",'In Scope Applications'!U2:U19,"OBV*",'In Scope Applications'!V2:V19,"DR Testing Limitation")</f>
        <v>0</v>
      </c>
      <c r="H15" s="22" t="s">
        <v>253</v>
      </c>
      <c r="I15" s="22">
        <f>COUNTIF('In Scope Applications'!D2:D19,"4*")</f>
        <v>0</v>
      </c>
    </row>
    <row r="16" spans="1:9" x14ac:dyDescent="0.25">
      <c r="A16" s="26" t="s">
        <v>243</v>
      </c>
      <c r="B16" s="22">
        <f>COUNTIFS('In Scope Applications'!B2:B19,"Enterprise",'In Scope Applications'!D2:D19,"2*")</f>
        <v>0</v>
      </c>
      <c r="C16" s="26" t="s">
        <v>244</v>
      </c>
      <c r="D16" s="22">
        <f>COUNTIFS('In Scope Applications'!B2:B19,"Enterprise",'In Scope Applications'!U2:U19,"OBV*",'In Scope Applications'!V2:V19,"Does Not Meet Requirements")</f>
        <v>0</v>
      </c>
      <c r="H16" s="22" t="s">
        <v>254</v>
      </c>
      <c r="I16" s="22">
        <f>COUNTIF('In Scope Applications'!D2:D19,"5*")</f>
        <v>0</v>
      </c>
    </row>
    <row r="17" spans="1:9" x14ac:dyDescent="0.25">
      <c r="A17" s="26" t="s">
        <v>245</v>
      </c>
      <c r="B17" s="22">
        <f>COUNTIFS('In Scope Applications'!B2:B19,"Enterprise",'In Scope Applications'!D2:D19,"3*")</f>
        <v>0</v>
      </c>
      <c r="H17" s="22" t="s">
        <v>255</v>
      </c>
      <c r="I17" s="22">
        <f>COUNTIF('In Scope Applications'!D2:D19,"9z")</f>
        <v>0</v>
      </c>
    </row>
    <row r="18" spans="1:9" x14ac:dyDescent="0.25">
      <c r="A18" s="26" t="s">
        <v>246</v>
      </c>
      <c r="B18" s="22">
        <f>COUNTIFS('In Scope Applications'!B2:B19,"Enterprise",'In Scope Applications'!D2:D19,"4*")</f>
        <v>0</v>
      </c>
      <c r="H18" s="22" t="s">
        <v>256</v>
      </c>
      <c r="I18" s="22">
        <f>COUNTIF('In Scope Applications'!D2:D19,"undefined")</f>
        <v>0</v>
      </c>
    </row>
    <row r="19" spans="1:9" x14ac:dyDescent="0.25">
      <c r="A19" s="26" t="s">
        <v>247</v>
      </c>
      <c r="B19" s="22">
        <f>COUNTIFS('In Scope Applications'!B2:B19,"Enterprise",'In Scope Applications'!D2:D19,"5*")</f>
        <v>0</v>
      </c>
      <c r="I19" s="61">
        <f>SUM(I12:I18)-B1</f>
        <v>-18</v>
      </c>
    </row>
    <row r="20" spans="1:9" x14ac:dyDescent="0.25">
      <c r="A20" s="26" t="s">
        <v>257</v>
      </c>
      <c r="B20" s="22">
        <f>COUNTIFS('In Scope Applications'!B2:B19,"Enterprise",'In Scope Applications'!D2:D19,"9Z")</f>
        <v>0</v>
      </c>
    </row>
    <row r="21" spans="1:9" x14ac:dyDescent="0.25">
      <c r="A21" s="26" t="s">
        <v>169</v>
      </c>
      <c r="B21" s="22">
        <f>COUNTIFS('In Scope Applications'!B2:B19,"Enterprise",'In Scope Applications'!D2:D19,"Undefined")</f>
        <v>0</v>
      </c>
      <c r="C21" s="60">
        <f>SUM(B15:B21)-B14</f>
        <v>0</v>
      </c>
    </row>
    <row r="22" spans="1:9" ht="13" x14ac:dyDescent="0.3">
      <c r="A22" s="25" t="s">
        <v>163</v>
      </c>
      <c r="B22" s="22">
        <f>COUNTIF('In Scope Applications'!B2:B19,"Hosted")</f>
        <v>0</v>
      </c>
      <c r="C22" s="23" t="s">
        <v>240</v>
      </c>
      <c r="D22" s="22">
        <f>COUNTIFS('In Scope Applications'!B2:B19,"Hosted",'In Scope Applications'!U2:U19,"OBV*")</f>
        <v>0</v>
      </c>
    </row>
    <row r="23" spans="1:9" x14ac:dyDescent="0.25">
      <c r="A23" s="26" t="s">
        <v>241</v>
      </c>
      <c r="B23" s="22">
        <f>COUNTIFS('In Scope Applications'!B2:B19,"Hosted",'In Scope Applications'!D2:D19,"1*")</f>
        <v>0</v>
      </c>
      <c r="C23" s="23" t="s">
        <v>242</v>
      </c>
      <c r="D23" s="22">
        <f>COUNTIFS('In Scope Applications'!B2:B19,"Hosted",'In Scope Applications'!U2:U19,"OBV*",'In Scope Applications'!V2:V19,"DR Testing Limitation")</f>
        <v>0</v>
      </c>
    </row>
    <row r="24" spans="1:9" x14ac:dyDescent="0.25">
      <c r="A24" s="26" t="s">
        <v>243</v>
      </c>
      <c r="B24" s="22">
        <f>COUNTIFS('In Scope Applications'!B2:B19,"Hosted",'In Scope Applications'!D2:D19,"2*")</f>
        <v>0</v>
      </c>
      <c r="C24" s="26" t="s">
        <v>244</v>
      </c>
      <c r="D24" s="22">
        <f>COUNTIFS('In Scope Applications'!B2:B19,"Hosted",'In Scope Applications'!U2:U19,"OBV*",'In Scope Applications'!V2:V19,"Does Not Meet Requirements")</f>
        <v>0</v>
      </c>
    </row>
    <row r="25" spans="1:9" x14ac:dyDescent="0.25">
      <c r="A25" s="26" t="s">
        <v>245</v>
      </c>
      <c r="B25" s="22">
        <f>COUNTIFS('In Scope Applications'!B2:B19,"Hosted",'In Scope Applications'!D2:D19,"3*")</f>
        <v>0</v>
      </c>
    </row>
    <row r="26" spans="1:9" x14ac:dyDescent="0.25">
      <c r="A26" s="26" t="s">
        <v>246</v>
      </c>
      <c r="B26" s="22">
        <f>COUNTIFS('In Scope Applications'!B2:B19,"Hosted",'In Scope Applications'!D2:D19,"4*")</f>
        <v>0</v>
      </c>
    </row>
    <row r="27" spans="1:9" x14ac:dyDescent="0.25">
      <c r="A27" s="26" t="s">
        <v>247</v>
      </c>
      <c r="B27" s="22">
        <f>COUNTIFS('In Scope Applications'!B2:B19,"Hosted",'In Scope Applications'!D2:D19,"5*")</f>
        <v>0</v>
      </c>
    </row>
    <row r="28" spans="1:9" x14ac:dyDescent="0.25">
      <c r="A28" s="26" t="s">
        <v>248</v>
      </c>
      <c r="B28" s="22">
        <f>COUNTIFS('In Scope Applications'!B2:B19,"Hosted",'In Scope Applications'!D2:D19,"9Z")</f>
        <v>0</v>
      </c>
    </row>
    <row r="29" spans="1:9" x14ac:dyDescent="0.25">
      <c r="A29" s="26" t="s">
        <v>169</v>
      </c>
      <c r="B29" s="22">
        <f>COUNTIFS('In Scope Applications'!B2:B19,"Hosted",'In Scope Applications'!D2:D19,"Undefined")</f>
        <v>0</v>
      </c>
      <c r="C29" s="60">
        <f>SUM(B23:B29)-B22</f>
        <v>0</v>
      </c>
    </row>
    <row r="30" spans="1:9" ht="13" x14ac:dyDescent="0.3">
      <c r="A30" s="25" t="s">
        <v>258</v>
      </c>
      <c r="B30" s="22">
        <f>COUNTIF('In Scope Applications'!B2:B19,"Omnicare")</f>
        <v>0</v>
      </c>
      <c r="C30" s="23" t="s">
        <v>240</v>
      </c>
      <c r="D30" s="22">
        <f>COUNTIFS('In Scope Applications'!B2:B19,"Omnicare",'In Scope Applications'!U2:U19,"OBV*")</f>
        <v>0</v>
      </c>
    </row>
    <row r="31" spans="1:9" x14ac:dyDescent="0.25">
      <c r="A31" s="26" t="s">
        <v>241</v>
      </c>
      <c r="B31" s="22">
        <f>COUNTIFS('In Scope Applications'!B2:B19,"Omnicare",'In Scope Applications'!D2:D19,"1*")</f>
        <v>0</v>
      </c>
      <c r="C31" s="23" t="s">
        <v>242</v>
      </c>
      <c r="D31" s="22">
        <f>COUNTIFS('In Scope Applications'!B2:B19,"Omnicare",'In Scope Applications'!U2:U19,"OBV*",'In Scope Applications'!V2:V19,"DR Testing Limitation")</f>
        <v>0</v>
      </c>
    </row>
    <row r="32" spans="1:9" x14ac:dyDescent="0.25">
      <c r="A32" s="26" t="s">
        <v>243</v>
      </c>
      <c r="B32" s="22">
        <f>COUNTIFS('In Scope Applications'!B2:B19,"Omnicare",'In Scope Applications'!D2:D19,"2*")</f>
        <v>0</v>
      </c>
      <c r="C32" s="26" t="s">
        <v>244</v>
      </c>
      <c r="D32" s="22">
        <f>COUNTIFS('In Scope Applications'!B2:B19,"Omnicare",'In Scope Applications'!U2:U19,"OBV*",'In Scope Applications'!V2:V19,"Does Not Meet Requirements")</f>
        <v>0</v>
      </c>
    </row>
    <row r="33" spans="1:4" x14ac:dyDescent="0.25">
      <c r="A33" s="26" t="s">
        <v>245</v>
      </c>
      <c r="B33" s="22">
        <f>COUNTIFS('In Scope Applications'!B2:B19,"Omnicare",'In Scope Applications'!D2:D19,"3*")</f>
        <v>0</v>
      </c>
    </row>
    <row r="34" spans="1:4" x14ac:dyDescent="0.25">
      <c r="A34" s="26" t="s">
        <v>246</v>
      </c>
      <c r="B34" s="22">
        <f>COUNTIFS('In Scope Applications'!B2:B19,"Omnicare",'In Scope Applications'!D2:D19,"4*")</f>
        <v>0</v>
      </c>
    </row>
    <row r="35" spans="1:4" x14ac:dyDescent="0.25">
      <c r="A35" s="26" t="s">
        <v>247</v>
      </c>
      <c r="B35" s="22">
        <f>COUNTIFS('In Scope Applications'!B2:B19,"Omnicare",'In Scope Applications'!D2:D19,"5*")</f>
        <v>0</v>
      </c>
    </row>
    <row r="36" spans="1:4" x14ac:dyDescent="0.25">
      <c r="A36" s="26" t="s">
        <v>248</v>
      </c>
      <c r="B36" s="22">
        <f>COUNTIFS('In Scope Applications'!B2:B19,"Omnicare",'In Scope Applications'!D2:D19,"9Z")</f>
        <v>0</v>
      </c>
    </row>
    <row r="37" spans="1:4" x14ac:dyDescent="0.25">
      <c r="A37" s="26" t="s">
        <v>169</v>
      </c>
      <c r="B37" s="22">
        <f>COUNTIFS('In Scope Applications'!B2:B19,"Omnicare",'In Scope Applications'!D2:D19,"Undefined")</f>
        <v>0</v>
      </c>
      <c r="C37" s="60">
        <f>SUM(B31:B37)-B30</f>
        <v>0</v>
      </c>
    </row>
    <row r="38" spans="1:4" ht="13" x14ac:dyDescent="0.3">
      <c r="A38" s="25" t="s">
        <v>259</v>
      </c>
      <c r="B38" s="22">
        <f>COUNTIF('In Scope Applications'!B2:B19,"PBM")</f>
        <v>0</v>
      </c>
      <c r="C38" s="23" t="s">
        <v>240</v>
      </c>
      <c r="D38" s="22">
        <f>COUNTIFS('In Scope Applications'!B2:B19,"PBM",'In Scope Applications'!U2:U19,"OBV*")</f>
        <v>0</v>
      </c>
    </row>
    <row r="39" spans="1:4" x14ac:dyDescent="0.25">
      <c r="A39" s="26" t="s">
        <v>241</v>
      </c>
      <c r="B39" s="22">
        <f>COUNTIFS('In Scope Applications'!B2:B19,"PBM",'In Scope Applications'!D2:D19,"1*")</f>
        <v>0</v>
      </c>
      <c r="C39" s="23" t="s">
        <v>242</v>
      </c>
      <c r="D39" s="22">
        <f>COUNTIFS('In Scope Applications'!B2:B19,"PBM",'In Scope Applications'!U2:U19,"OBV*",'In Scope Applications'!V2:V19,"DR Testing Limitation")</f>
        <v>0</v>
      </c>
    </row>
    <row r="40" spans="1:4" x14ac:dyDescent="0.25">
      <c r="A40" s="26" t="s">
        <v>243</v>
      </c>
      <c r="B40" s="22">
        <f>COUNTIFS('In Scope Applications'!B2:B19,"PBM",'In Scope Applications'!D2:D19,"2*")</f>
        <v>0</v>
      </c>
      <c r="C40" s="26" t="s">
        <v>244</v>
      </c>
      <c r="D40" s="22">
        <f>COUNTIFS('In Scope Applications'!B2:B19,"PBM",'In Scope Applications'!U2:U19,"OBV*",'In Scope Applications'!V2:V19,"Does Not Meet Requirements")</f>
        <v>0</v>
      </c>
    </row>
    <row r="41" spans="1:4" x14ac:dyDescent="0.25">
      <c r="A41" s="26" t="s">
        <v>245</v>
      </c>
      <c r="B41" s="22">
        <f>COUNTIFS('In Scope Applications'!B2:B19,"PBM",'In Scope Applications'!D2:D19,"3*")</f>
        <v>0</v>
      </c>
    </row>
    <row r="42" spans="1:4" x14ac:dyDescent="0.25">
      <c r="A42" s="26" t="s">
        <v>246</v>
      </c>
      <c r="B42" s="22">
        <f>COUNTIFS('In Scope Applications'!B2:B19,"PBM",'In Scope Applications'!D2:D19,"4*")</f>
        <v>0</v>
      </c>
    </row>
    <row r="43" spans="1:4" x14ac:dyDescent="0.25">
      <c r="A43" s="26" t="s">
        <v>247</v>
      </c>
      <c r="B43" s="22">
        <f>COUNTIFS('In Scope Applications'!B2:B19,"PBM",'In Scope Applications'!D2:D19,"5*")</f>
        <v>0</v>
      </c>
    </row>
    <row r="44" spans="1:4" x14ac:dyDescent="0.25">
      <c r="A44" s="26" t="s">
        <v>248</v>
      </c>
      <c r="B44" s="22">
        <f>COUNTIFS('In Scope Applications'!B2:B19,"PBM",'In Scope Applications'!D2:D19,"9Z")</f>
        <v>0</v>
      </c>
    </row>
    <row r="45" spans="1:4" x14ac:dyDescent="0.25">
      <c r="A45" s="26" t="s">
        <v>169</v>
      </c>
      <c r="B45" s="22">
        <f>COUNTIFS('In Scope Applications'!B2:B19,"PBM",'In Scope Applications'!D2:D19,"Undefined")</f>
        <v>0</v>
      </c>
      <c r="C45" s="60">
        <f>SUM(B39:B45)-B38</f>
        <v>0</v>
      </c>
    </row>
    <row r="46" spans="1:4" ht="13" x14ac:dyDescent="0.3">
      <c r="A46" s="25" t="s">
        <v>260</v>
      </c>
      <c r="B46" s="22">
        <f>COUNTIF('In Scope Applications'!B2:B19,"Retail")</f>
        <v>0</v>
      </c>
      <c r="C46" s="23" t="s">
        <v>240</v>
      </c>
      <c r="D46" s="22">
        <f>COUNTIFS('In Scope Applications'!B2:B19,"Retail",'In Scope Applications'!U2:U19,"OBV*")</f>
        <v>0</v>
      </c>
    </row>
    <row r="47" spans="1:4" x14ac:dyDescent="0.25">
      <c r="A47" s="26" t="s">
        <v>241</v>
      </c>
      <c r="B47" s="22">
        <f>COUNTIFS('In Scope Applications'!B2:B19,"Retail",'In Scope Applications'!D2:D19,"1*")</f>
        <v>0</v>
      </c>
      <c r="C47" s="23" t="s">
        <v>242</v>
      </c>
      <c r="D47" s="22">
        <f>COUNTIFS('In Scope Applications'!B2:B19,"Retail",'In Scope Applications'!U2:U19,"OBV*",'In Scope Applications'!V2:V19,"DR Testing Limitation")</f>
        <v>0</v>
      </c>
    </row>
    <row r="48" spans="1:4" x14ac:dyDescent="0.25">
      <c r="A48" s="26" t="s">
        <v>243</v>
      </c>
      <c r="B48" s="22">
        <f>COUNTIFS('In Scope Applications'!B2:B19,"Retail",'In Scope Applications'!D2:D19,"2*")</f>
        <v>0</v>
      </c>
      <c r="C48" s="26" t="s">
        <v>244</v>
      </c>
      <c r="D48" s="22">
        <f>COUNTIFS('In Scope Applications'!B2:B19,"Retail",'In Scope Applications'!U2:U19,"OBV*",'In Scope Applications'!V2:V19,"Does Not Meet Requirements")</f>
        <v>0</v>
      </c>
    </row>
    <row r="49" spans="1:3" x14ac:dyDescent="0.25">
      <c r="A49" s="26" t="s">
        <v>245</v>
      </c>
      <c r="B49" s="22">
        <f>COUNTIFS('In Scope Applications'!B2:B19,"Retail",'In Scope Applications'!D2:D19,"3*")</f>
        <v>0</v>
      </c>
    </row>
    <row r="50" spans="1:3" x14ac:dyDescent="0.25">
      <c r="A50" s="26" t="s">
        <v>246</v>
      </c>
      <c r="B50" s="22">
        <f>COUNTIFS('In Scope Applications'!B2:B19,"Retail",'In Scope Applications'!D2:D19,"4*")</f>
        <v>0</v>
      </c>
    </row>
    <row r="51" spans="1:3" x14ac:dyDescent="0.25">
      <c r="A51" s="26" t="s">
        <v>247</v>
      </c>
      <c r="B51" s="22">
        <f>COUNTIFS('In Scope Applications'!B2:B19,"Retail",'In Scope Applications'!D2:D19,"5*")</f>
        <v>0</v>
      </c>
    </row>
    <row r="52" spans="1:3" x14ac:dyDescent="0.25">
      <c r="A52" s="26" t="s">
        <v>248</v>
      </c>
      <c r="B52" s="22">
        <f>COUNTIFS('In Scope Applications'!B2:B19,"Retail",'In Scope Applications'!D2:D19,"9Z")</f>
        <v>0</v>
      </c>
    </row>
    <row r="53" spans="1:3" x14ac:dyDescent="0.25">
      <c r="A53" s="26" t="s">
        <v>169</v>
      </c>
      <c r="B53" s="22">
        <f>COUNTIFS('In Scope Applications'!B2:B19,"Retail",'In Scope Applications'!D2:D19,"Undefined*")</f>
        <v>0</v>
      </c>
      <c r="C53" s="60">
        <f>SUM(B47:B53)-B46</f>
        <v>0</v>
      </c>
    </row>
  </sheetData>
  <protectedRanges>
    <protectedRange algorithmName="SHA-512" hashValue="MnRe22DFcMb0ql6dq5+tZN4vMk4p0Y00b5YI2EOzoWiMpI6I9HONSuFMaFY/0uhU5VTH13sQbK1m2e+QmsGrtw==" saltValue="QXTqxBiatGvEvyWzq6xT2g==" spinCount="100000" sqref="A1:XFD1048576" name="App Stats Tab"/>
  </protectedRanges>
  <customSheetViews>
    <customSheetView guid="{B1D8F901-FC69-4993-BE16-C86A3096BF44}" topLeftCell="A16">
      <selection activeCell="B3" sqref="B3"/>
      <pageMargins left="0" right="0" top="0" bottom="0" header="0" footer="0"/>
      <pageSetup orientation="portrait" r:id="rId1"/>
    </customSheetView>
  </customSheetViews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3"/>
  <sheetViews>
    <sheetView workbookViewId="0">
      <selection activeCell="A4" sqref="A4"/>
    </sheetView>
  </sheetViews>
  <sheetFormatPr defaultRowHeight="12.5" x14ac:dyDescent="0.25"/>
  <cols>
    <col min="1" max="1" width="10.453125" bestFit="1" customWidth="1"/>
    <col min="3" max="3" width="111.54296875" bestFit="1" customWidth="1"/>
  </cols>
  <sheetData>
    <row r="1" spans="1:3" x14ac:dyDescent="0.25">
      <c r="A1" t="s">
        <v>261</v>
      </c>
      <c r="B1" t="s">
        <v>262</v>
      </c>
      <c r="C1" t="s">
        <v>263</v>
      </c>
    </row>
    <row r="2" spans="1:3" x14ac:dyDescent="0.25">
      <c r="A2" s="64">
        <v>43403</v>
      </c>
      <c r="B2" t="s">
        <v>264</v>
      </c>
      <c r="C2" t="s">
        <v>265</v>
      </c>
    </row>
    <row r="3" spans="1:3" x14ac:dyDescent="0.25">
      <c r="A3" s="64">
        <v>43410</v>
      </c>
      <c r="B3" t="s">
        <v>264</v>
      </c>
      <c r="C3" t="s">
        <v>266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9C2C2B2406125409A3F17BA3F7FD346" ma:contentTypeVersion="5" ma:contentTypeDescription="Create a new document." ma:contentTypeScope="" ma:versionID="f10644555745b267360e20d28f7b5fca">
  <xsd:schema xmlns:xsd="http://www.w3.org/2001/XMLSchema" xmlns:xs="http://www.w3.org/2001/XMLSchema" xmlns:p="http://schemas.microsoft.com/office/2006/metadata/properties" xmlns:ns2="91fec23a-896d-4a11-b055-6e622c7ebd3e" targetNamespace="http://schemas.microsoft.com/office/2006/metadata/properties" ma:root="true" ma:fieldsID="24e92bd2515386aafdd8dc0691a59344" ns2:_="">
    <xsd:import namespace="91fec23a-896d-4a11-b055-6e622c7ebd3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fec23a-896d-4a11-b055-6e622c7ebd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569F35C4-464B-48B1-99D5-E50DB6309A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2F397CB-A9DD-459F-9322-7982AE36372F}"/>
</file>

<file path=customXml/itemProps3.xml><?xml version="1.0" encoding="utf-8"?>
<ds:datastoreItem xmlns:ds="http://schemas.openxmlformats.org/officeDocument/2006/customXml" ds:itemID="{E9D06683-DE89-4CE9-8382-06C0C07AF502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74d9bfb0-ed37-4072-bc91-556684bab956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Exercise Dates</vt:lpstr>
      <vt:lpstr>2017 Release Calendar</vt:lpstr>
      <vt:lpstr>In Scope Applications</vt:lpstr>
      <vt:lpstr>Failover Tracking</vt:lpstr>
      <vt:lpstr>Columns</vt:lpstr>
      <vt:lpstr>Application Stats</vt:lpstr>
      <vt:lpstr>Revision History</vt:lpstr>
      <vt:lpstr>'Exercise Dates'!Print_Area</vt:lpstr>
      <vt:lpstr>'Exercise Dates'!Print_Titles</vt:lpstr>
    </vt:vector>
  </TitlesOfParts>
  <Manager/>
  <Company>AdvancePCS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 Enterprise DR Exercise Schedule</dc:title>
  <dc:subject/>
  <dc:creator>is70501</dc:creator>
  <cp:keywords/>
  <dc:description/>
  <cp:lastModifiedBy>Yaroslav Masiuk</cp:lastModifiedBy>
  <cp:revision/>
  <dcterms:created xsi:type="dcterms:W3CDTF">2005-08-01T22:55:13Z</dcterms:created>
  <dcterms:modified xsi:type="dcterms:W3CDTF">2020-12-10T08:28:40Z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</vt:lpwstr>
  </property>
  <property fmtid="{D5CDD505-2E9C-101B-9397-08002B2CF9AE}" pid="3" name="_Version">
    <vt:lpwstr>7.27.08</vt:lpwstr>
  </property>
  <property fmtid="{D5CDD505-2E9C-101B-9397-08002B2CF9AE}" pid="4" name="ContentTypeId">
    <vt:lpwstr>0x010100F9C2C2B2406125409A3F17BA3F7FD346</vt:lpwstr>
  </property>
  <property fmtid="{D5CDD505-2E9C-101B-9397-08002B2CF9AE}" pid="5" name="TemplateUrl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</Properties>
</file>